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https://upm365-my.sharepoint.com/personal/javier_conde_diaz_upm_es/Documents/Universidad/Proyectos/Proyectos Generales/"/>
    </mc:Choice>
  </mc:AlternateContent>
  <xr:revisionPtr revIDLastSave="644" documentId="8_{1470795A-59F1-784B-99FC-5B46A05E445E}" xr6:coauthVersionLast="47" xr6:coauthVersionMax="47" xr10:uidLastSave="{8BEF806F-8C84-F346-861D-37676BD42200}"/>
  <bookViews>
    <workbookView xWindow="-38400" yWindow="-1360" windowWidth="38400" windowHeight="21000" xr2:uid="{27D03A76-C657-D54E-8770-E03299BC1360}"/>
  </bookViews>
  <sheets>
    <sheet name="Hoja1" sheetId="1"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9" i="1" l="1"/>
  <c r="O27" i="1"/>
  <c r="O28" i="1"/>
  <c r="O29" i="1"/>
  <c r="O30" i="1"/>
  <c r="O31" i="1"/>
  <c r="O32" i="1"/>
  <c r="O33" i="1"/>
  <c r="O34" i="1"/>
  <c r="O35" i="1"/>
  <c r="O36" i="1"/>
  <c r="O37" i="1"/>
  <c r="O38" i="1"/>
  <c r="O39" i="1"/>
  <c r="O40" i="1"/>
  <c r="O41" i="1"/>
  <c r="O42" i="1"/>
  <c r="O43" i="1"/>
  <c r="O26" i="1"/>
  <c r="O25" i="1"/>
  <c r="O24" i="1"/>
  <c r="O23" i="1"/>
  <c r="O15" i="1"/>
  <c r="O4" i="1"/>
  <c r="O7" i="1"/>
  <c r="O3" i="1"/>
  <c r="O5" i="1"/>
  <c r="O17" i="1"/>
  <c r="O18" i="1"/>
  <c r="O19" i="1"/>
  <c r="O20" i="1"/>
  <c r="O21" i="1"/>
  <c r="O22" i="1"/>
  <c r="O2" i="1"/>
  <c r="O16" i="1"/>
  <c r="O14" i="1"/>
  <c r="O13" i="1"/>
  <c r="O12" i="1"/>
  <c r="O11" i="1"/>
  <c r="O10" i="1"/>
  <c r="O9" i="1"/>
  <c r="O8" i="1"/>
  <c r="O6" i="1"/>
</calcChain>
</file>

<file path=xl/sharedStrings.xml><?xml version="1.0" encoding="utf-8"?>
<sst xmlns="http://schemas.openxmlformats.org/spreadsheetml/2006/main" count="383" uniqueCount="221">
  <si>
    <t>Título proyecto</t>
  </si>
  <si>
    <t xml:space="preserve">Referencia </t>
  </si>
  <si>
    <t xml:space="preserve">Referencia OTT: </t>
  </si>
  <si>
    <t>ENTIDAD FINANCIADORA</t>
  </si>
  <si>
    <t>Asignación a la UPM</t>
  </si>
  <si>
    <t>Asignación concedida total  grupo GING UPM</t>
  </si>
  <si>
    <t xml:space="preserve">  ENTIDADES PARTICIPANTES</t>
  </si>
  <si>
    <t>Duración (inicio)</t>
  </si>
  <si>
    <t>Duración (fin)</t>
  </si>
  <si>
    <t>Duración (meses)</t>
  </si>
  <si>
    <t xml:space="preserve"> FECHA DEL TRASPASO DE TITULARIDAD</t>
  </si>
  <si>
    <t>ID portal científico</t>
  </si>
  <si>
    <t>IP</t>
  </si>
  <si>
    <t>Convocatoria</t>
  </si>
  <si>
    <t>Comentario</t>
  </si>
  <si>
    <t>Pedro Reviriego</t>
  </si>
  <si>
    <t>HORIZON-KDT-JU-2023-1-IA
Focus Topic 3: Focus topic on Integration of trustworthy Edge AI
technologies in complex heterogeneous components and systems
(IA)</t>
  </si>
  <si>
    <t>SmarTerp and Me – Activa</t>
  </si>
  <si>
    <t>CPI.AAG.004</t>
  </si>
  <si>
    <t>Álvaro Alonso</t>
  </si>
  <si>
    <t>AVIC - DAO</t>
  </si>
  <si>
    <t>CPI.AAG.005</t>
  </si>
  <si>
    <t>Universidad Politécnica de Madrid</t>
  </si>
  <si>
    <t>Contratos Inteligentes sistema de interpretación</t>
  </si>
  <si>
    <t>No introducido</t>
  </si>
  <si>
    <t>Joaquín Salvachúa</t>
  </si>
  <si>
    <t>Redes del Futuro para Centros de Procesado de Datos y Operadores (Fun4date)</t>
  </si>
  <si>
    <t>PID2022-136684OB-C22</t>
  </si>
  <si>
    <t>C2309520104</t>
  </si>
  <si>
    <t>10102649
Las fechas mal</t>
  </si>
  <si>
    <t>Pedro Reviriego y Enrique Barra</t>
  </si>
  <si>
    <t xml:space="preserve">Proyecto Generación Conocimiento </t>
  </si>
  <si>
    <t>Investigación en Redes NTN de nueva generación</t>
  </si>
  <si>
    <t>CPI.PRV.001</t>
  </si>
  <si>
    <t>Universidad Politécnica de Madrid, Universidad Carlos III de Madrid</t>
  </si>
  <si>
    <t>CPI.AAG.002 INTELIA</t>
  </si>
  <si>
    <t>Universidad Politécnica de Madrid, Intelia S.L.</t>
  </si>
  <si>
    <t>CoConApp: Aplicación de control de configuración</t>
  </si>
  <si>
    <t>CPI.AGM.001</t>
  </si>
  <si>
    <t>Universidad Politécnica de Madrid, Tecnatom S.A.</t>
  </si>
  <si>
    <t>TED 2021-130174B-C32</t>
  </si>
  <si>
    <t>C2209560216</t>
  </si>
  <si>
    <t xml:space="preserve">
Universidad Politecnica de Madrid Agencia Estatal Consejo Superior de Investigaciones Cientificas (Csic), Fundación para la Investigación Biomédica del Hospital Univ. Doce De Octubre</t>
  </si>
  <si>
    <t>CPI.AAG.001</t>
  </si>
  <si>
    <t>Universidad Politécnica de Madrid, EIDOLON Servicios Lingüísticos,
S.L.</t>
  </si>
  <si>
    <t>Plataforma Unificada de Formación</t>
  </si>
  <si>
    <t>CPI.JQV.004 Plataforma Unificada</t>
  </si>
  <si>
    <t>Universidad Politécnica de Madrid, Orange Espagne, S.L.</t>
  </si>
  <si>
    <t>European Institute of Innovation and Technology (EIT)</t>
  </si>
  <si>
    <t>Universidad Politécnica de Madrid, KTH, Ci3, Ferrovial,
Gellify Iberia, Ayuntamiento de Guadalajara.</t>
  </si>
  <si>
    <t>Juan Quemada y Álvaro Alonso</t>
  </si>
  <si>
    <t>INEA/CEF/ICT/A2019/2063176</t>
  </si>
  <si>
    <t>Universidad Politécnica de Madrid, Universidad de Cantabria,
ECIX Group, Mobiliario Smart Anadalucía SL</t>
  </si>
  <si>
    <t>2020/05/22</t>
  </si>
  <si>
    <t>REACT-MadridDataSpace4Pandemics-23469</t>
  </si>
  <si>
    <t>REACT210024193H</t>
  </si>
  <si>
    <t>KTH, Ci3, AGS, Universidad Politécnica de Madrid</t>
  </si>
  <si>
    <t>Tipo</t>
  </si>
  <si>
    <t>Alcance</t>
  </si>
  <si>
    <t>IP-YO</t>
  </si>
  <si>
    <t>No</t>
  </si>
  <si>
    <t>Más de 30</t>
  </si>
  <si>
    <t>Yes</t>
  </si>
  <si>
    <t>Scalable and Quantum Resilient Heterogeneous Edge Computing enabling Trustworthy AI (SMARTY)</t>
  </si>
  <si>
    <t>Soluciones para la soberanía, confianza y seguridad en los
espacios de datos (EUNOMIA)</t>
  </si>
  <si>
    <t>Escaping New Disinformation through GAmified cross-border Media literacy Education (EndGame)</t>
  </si>
  <si>
    <t>European Commission</t>
  </si>
  <si>
    <t>Enrique Barra</t>
  </si>
  <si>
    <t>Erasmus +</t>
  </si>
  <si>
    <t>MIT Seed Fund: Beyond Humans in Psycholinguistics: theArtificial Intelligence Era</t>
  </si>
  <si>
    <t>MIT Seed Fund</t>
  </si>
  <si>
    <t>Tecnologías para la detección y comunicación en redes 6G (TUCAN6-CM)</t>
  </si>
  <si>
    <t>Regional (Madrid)</t>
  </si>
  <si>
    <t>National</t>
  </si>
  <si>
    <t>UPM. E.T.S. DE INGENIEROS DE TELECOMUNICACION (School)
UPM. ESCUELA TECNICA SUPERIOR DE INGENIEROS DE TELECOMUNICACION (Others)
UPM. INGENIERÍA DE SISTEMAS TELEMÁTICOS (University Department)
UPM. Internet de Nueva Generación (Grupo de investigacion)
UPM. E.T.S. DE INGENIEROS DE TELECOMUNICACION (School)
UPM. ESCUELA TECNICA SUPERIOR DE INGENIEROS DE TELECOMUNICACION (Others)
UPM. Escuela InterNational de Doctorado, EID (Others)
UPM. INGENIERÍA DE SISTEMAS TELEMÁTICOS (University Department)
UPM. SISTEMAS INFORMÁTICOS (University Department)
UPM. CENTRO I+D+I PROC. INFORMACIÓN Y TELECOM (Institute or University Research Center)</t>
  </si>
  <si>
    <t>European</t>
  </si>
  <si>
    <t>International</t>
  </si>
  <si>
    <t>Implementation of Game-Based Learning Using Escape Rooms (Iglue)</t>
  </si>
  <si>
    <t>European Commission (Erasmus+)</t>
  </si>
  <si>
    <t>European (Erasmus+)</t>
  </si>
  <si>
    <t>Aldo Gordillo</t>
  </si>
  <si>
    <t>Asistente educativo personalizado basado en Grandes Modelos de Lenguaje (CyberTutor)</t>
  </si>
  <si>
    <t>Regional</t>
  </si>
  <si>
    <t>Javier Conde</t>
  </si>
  <si>
    <t>Programa Propio ETSIT</t>
  </si>
  <si>
    <t>Pedro Reviriego y Aldo Gordillo</t>
  </si>
  <si>
    <t>Pedro Reviriego y Javier Conde</t>
  </si>
  <si>
    <t>Desarrollo de una plataforma digital para la gestión remota de los datos de pacientes con trastornos del movimiento (NETremor-DATA)</t>
  </si>
  <si>
    <t>Álvaro Gutierrez y Gabriel Huecas</t>
  </si>
  <si>
    <t>Convocatoria 2021 - «Proyectos de Transición Ecológica y Transición Digital». Coordinado. IP del nuevo proyecto (Álvaro Gutiérrez) y también GH. Ministerio de Ciencia e Innovación (MICINN)</t>
  </si>
  <si>
    <t>Low Emission MONitoring Zone (LEMON-Zone)</t>
  </si>
  <si>
    <t>Educational Data Virtual Lab (EDVL4Pandemics)</t>
  </si>
  <si>
    <t>Your Open DAta (YODA)</t>
  </si>
  <si>
    <t>Arportwin AR/VR for digital twins in airports and other infrastructures using FIWARE platform (A-RPORTWIN)</t>
  </si>
  <si>
    <t>CEF Telecom</t>
  </si>
  <si>
    <t>EIT Digital</t>
  </si>
  <si>
    <t>Espacio de Datos de Cambio Climático en Infraestructuras de Transporte (EDACCIT)</t>
  </si>
  <si>
    <t>Competitive</t>
  </si>
  <si>
    <t>Private</t>
  </si>
  <si>
    <t>Aula Virtual para la Interpretación de Conferencias (AVIC)</t>
  </si>
  <si>
    <t>Inteligencia Artificial para AVIC</t>
  </si>
  <si>
    <t>Con Certificado YO</t>
  </si>
  <si>
    <t>Chair ARANGO-ETSIT-UPM</t>
  </si>
  <si>
    <t>Arango</t>
  </si>
  <si>
    <t>Sostenibilidad Generativa: Hacia un Uso Responsable de la IA</t>
  </si>
  <si>
    <t>PIA Cotec</t>
  </si>
  <si>
    <t>Optimización del tráfico urbano mediante sistemas complejos (Cliotedge)</t>
  </si>
  <si>
    <t>Systemas de Redes Intelia S-L.</t>
  </si>
  <si>
    <t>Universidad Carlos III de Madrid</t>
  </si>
  <si>
    <t>Link</t>
  </si>
  <si>
    <t>https://sostenibilidadgenerativa.cotec.es/</t>
  </si>
  <si>
    <t>Kunveno Teknologos, S.L.</t>
  </si>
  <si>
    <t>Plataforma Integral de Control y Operación de  Alumbrado y Galerías - Fase 1-3 (PLICOGA)</t>
  </si>
  <si>
    <t>AIQuiz</t>
  </si>
  <si>
    <t>Software</t>
  </si>
  <si>
    <t>AutoCOREctor</t>
  </si>
  <si>
    <t>Cosmos GE</t>
  </si>
  <si>
    <t>Draco GE</t>
  </si>
  <si>
    <t>Psycholinguistics Framework</t>
  </si>
  <si>
    <t>Progdoc</t>
  </si>
  <si>
    <t>Gestión Trámites</t>
  </si>
  <si>
    <t>Mi Horario</t>
  </si>
  <si>
    <t>Description</t>
  </si>
  <si>
    <t>YODA Open Data Portal</t>
  </si>
  <si>
    <t>https://github.com/CyberAula/aiquiz</t>
  </si>
  <si>
    <t>Web-based quiz application that uses AI to generate and run interactive quizzes.
It integrates with UPM and adapts to each student’s needs by personalizing the learning experience based on their progress and level.</t>
  </si>
  <si>
    <t>CKAN Extension for DCAT-AP and OAI-PMH</t>
  </si>
  <si>
    <t>Extension for enabling DCAT-AP metadata, supporting harvesting workflows integrated with data.europa.eu. It includes an extension to implement an OAI-PMH v2 server for exposing metadata via standard harvesting endpoints.</t>
  </si>
  <si>
    <t>https://github.com/YourOpenDAta/ckanext-dcatapedp</t>
  </si>
  <si>
    <t>Automatic grading tool for programming and web programming assignments used in courses at the Universidad Politécnica de Madrid.</t>
  </si>
  <si>
    <t>Official FIWARE Generic Enabler based on Apache NiFi for ETL flow processing, compatible with NGSI-LD and NGSIv2 data formats.</t>
  </si>
  <si>
    <t>Official FIWARE Generic Enabler for Big Data processing using the Apache Spark engine, compatible with NGSI-LD and NGSIv2.</t>
  </si>
  <si>
    <t>Framework for synthetic data generation in psycholinguistics experiments.</t>
  </si>
  <si>
    <t>Tool for academic management of study programs delivered at the School of Telecommunications Engineering of the Universidad Politécnica de Madrid since 2020.</t>
  </si>
  <si>
    <t>Tool for managing schedules of professors and students at the School of Telecommunications Engineering of the Universidad Politécnica de Madrid, used from 2020 to 2025.</t>
  </si>
  <si>
    <t>Tool for managing administrative procedures used at the School of Telecommunications Engineering of the Universidad Politécnica de Madrid since 2020.</t>
  </si>
  <si>
    <t>YODA open data portal integrated with data.europa.eu, positioned as one of the best portals in terms of metadata quality.</t>
  </si>
  <si>
    <t>AI Agents for Education</t>
  </si>
  <si>
    <t>La Leaderboard</t>
  </si>
  <si>
    <t>https://github.com/CyberAula/CreadorAgentesIA</t>
  </si>
  <si>
    <t>Tool for creating AI agents that can be integrated into educational platforms, with adaptive role capabilities.</t>
  </si>
  <si>
    <t>https://github.com/ging/fiware-draco</t>
  </si>
  <si>
    <t>https://github.com/ging/fiware-cosmos</t>
  </si>
  <si>
    <t>https://github.com/YourOpenDAta/ckan_yoda</t>
  </si>
  <si>
    <t>https://github.com/YourOpenDAta/mqa-scoring</t>
  </si>
  <si>
    <t>Python implementation of data.auropa.eu assesment tools</t>
  </si>
  <si>
    <t>Python implementation of the data.europa.eu mqa-scoring assesment tool.</t>
  </si>
  <si>
    <t>Open-Source LLM Leaderboard of Languages and Language Varieties of Ibero America: All the evaluation datasets have been originally created or manually translated into the corresponding languages.</t>
  </si>
  <si>
    <t>https://huggingface.co/spaces/la-leaderboard/la-leaderboard</t>
  </si>
  <si>
    <t>https://github.com/WordsGPT/psycholinguistics_framework</t>
  </si>
  <si>
    <t>MIT and UPM (Joint Research Program)</t>
  </si>
  <si>
    <t>Spanish Research Agency</t>
  </si>
  <si>
    <t>European Commssion (CJU) and Spanish Research Agency</t>
  </si>
  <si>
    <t>Eidolon Servicios Lingüísticos, S.L</t>
  </si>
  <si>
    <t>Spanish Government</t>
  </si>
  <si>
    <t>Ministry of Science and Innovation. Spanish Government</t>
  </si>
  <si>
    <t>Tecnatom S.A.</t>
  </si>
  <si>
    <t>Eidolon Servicios Lingüísticos, S.L.</t>
  </si>
  <si>
    <t>Orange Foundation</t>
  </si>
  <si>
    <t>Community of Madrid (Regional Government)</t>
  </si>
  <si>
    <t>Ministry for Digital Transformation and the Civil Service. Spanish Government</t>
  </si>
  <si>
    <t>Eidolon Servicios Lingüísticos, S.L.</t>
  </si>
  <si>
    <t>Cotec Foundation</t>
  </si>
  <si>
    <t>Ci3 Foundation</t>
  </si>
  <si>
    <t>Título proyecto original</t>
  </si>
  <si>
    <t>Solutions for Sovereignty, Trust, and Security in Data Spaces (EUNOMIA)</t>
  </si>
  <si>
    <t>Future Networks for Data Centers and Operators (Fun4date)</t>
  </si>
  <si>
    <t>Research on Next-Generation Non-Terrestrial Networks (NTN)</t>
  </si>
  <si>
    <t>Comprehensive Platform for Lighting and Tunnel Control and Operation – Phase 1-3 (PLICOGA)</t>
  </si>
  <si>
    <t>CoConApp: Configuration Control Application</t>
  </si>
  <si>
    <t>Development of a Digital Platform for Remote Data Management of Patients with Movement Disorders (NETremor-DATA)</t>
  </si>
  <si>
    <t>Virtual Classroom for Conference Interpreting (AVIC)</t>
  </si>
  <si>
    <t>Unified Training Platform</t>
  </si>
  <si>
    <t>Climate Change Data Space in Transport Infrastructure (EDACCIT)</t>
  </si>
  <si>
    <t>MIT Seed Fund: Beyond Humans in Psycholinguistics: the Artificial Intelligence Era</t>
  </si>
  <si>
    <t>Technologies for Detection and Communication in 6G Networks (TUCAN6-CM)</t>
  </si>
  <si>
    <t>Personalized Educational Assistant based on Large Language Models (CyberTutor)</t>
  </si>
  <si>
    <t>Artificial Intelligence for AVIC</t>
  </si>
  <si>
    <t>ARANGO-ETSIT-UPM Chair</t>
  </si>
  <si>
    <t>Generative Sustainability: Towards a Responsible Use of AI</t>
  </si>
  <si>
    <t>Urban Traffic Optimization through Complex Systems (Cliotedge)</t>
  </si>
  <si>
    <t>GestionTramites</t>
  </si>
  <si>
    <t>MiHorario</t>
  </si>
  <si>
    <t>Python implementation of data.europa.eu metadata quality assessment tool</t>
  </si>
  <si>
    <t>DirectorioPersonal</t>
  </si>
  <si>
    <t>Tool for managing contact information of the personnel at the School of Telecommunications Engineering of the Universidad Politécnica de Madrid, used from 2020 to 2024.</t>
  </si>
  <si>
    <t>Aeronautics Smart Data Models</t>
  </si>
  <si>
    <t>Data models for the European platform FIWARE in the Aeronautics domain compliant with NGSI-LD and NGSIv2</t>
  </si>
  <si>
    <t>https://github.com/smart-data-models/dataModel.Aeronautics/</t>
  </si>
  <si>
    <t>PoC of a TinyML with MLOPS for a Digital Twin with FIWARE</t>
  </si>
  <si>
    <t>https://github.com/ging/tinyML-MLOps-Fiware-Barrier</t>
  </si>
  <si>
    <t>Proof of Concept of TinyML with MLOps for a Digital Twin based on FIWARE, focused on the management of a smart barrier.</t>
  </si>
  <si>
    <t>https://www.npmjs.com/package/autocorector</t>
  </si>
  <si>
    <t>OpenAI Research Access Program</t>
  </si>
  <si>
    <t>Open AI Research Program</t>
  </si>
  <si>
    <t>Año</t>
  </si>
  <si>
    <t>Presidente del grupo local de Inteligencia Artificial</t>
  </si>
  <si>
    <t>Chair of the local Artificial Intelligence group</t>
  </si>
  <si>
    <t>Vocal del Patronato</t>
  </si>
  <si>
    <t>Member of the Board of Trustees</t>
  </si>
  <si>
    <t>Fundación Ángel Barbero Martin de Vidales</t>
  </si>
  <si>
    <t>Participación en el Grupo de Trabajo de Intercambio de Conjuntos de Datos</t>
  </si>
  <si>
    <t>2023 - 2025</t>
  </si>
  <si>
    <t>W3C</t>
  </si>
  <si>
    <t>Elaboración del informe ETSI GR CIM 017 sobre Gemelos Digitales</t>
  </si>
  <si>
    <t>Miembro del grupo de IA</t>
  </si>
  <si>
    <t>FIWARE Foundation</t>
  </si>
  <si>
    <t>IEEE (Spanish Section)</t>
  </si>
  <si>
    <t>ETSI</t>
  </si>
  <si>
    <t>Feasibility of NGSI-LD for Digital Twins</t>
  </si>
  <si>
    <t>Working Group</t>
  </si>
  <si>
    <t>OpenAI</t>
  </si>
  <si>
    <t>Dataset Exchange Working Group (DCAT standard)</t>
  </si>
  <si>
    <t>FIWARE AI Working Group</t>
  </si>
  <si>
    <t>2024 – Today</t>
  </si>
  <si>
    <t>2021-2022, 2025-Today.</t>
  </si>
  <si>
    <t>2023 - 2026</t>
  </si>
  <si>
    <t>Building ResIlient Development with GEnerative AI in Education &amp; Agriculture - BRIDGE-AI</t>
  </si>
  <si>
    <t>Fundacio Eurecat, SeamWare, Austria Car, Unniversity of Sousse, Moome, AgroInfoTech, Jomo Kenyata University</t>
  </si>
  <si>
    <t>2026-2029</t>
  </si>
  <si>
    <t>HORIZON-CL4-2025-04 (GenAI4Africa)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</si>
</sst>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dd/mm/yy"/>
    <numFmt numFmtId="165" formatCode="&quot;BOOL&quot;e&quot;AN&quot;"/>
  </numFmts>
  <fonts count="15" x14ac:knownFonts="1">
    <font>
      <sz val="12"/>
      <color theme="1"/>
      <name val="Aptos Narrow"/>
      <family val="2"/>
      <scheme val="minor"/>
    </font>
    <font>
      <sz val="11"/>
      <color rgb="FF000000"/>
      <name val="Calibri"/>
      <family val="2"/>
      <charset val="1"/>
    </font>
    <font>
      <sz val="10"/>
      <name val="Arial"/>
      <family val="2"/>
      <charset val="1"/>
    </font>
    <font>
      <sz val="12"/>
      <color theme="1"/>
      <name val="Aptos Narrow"/>
      <family val="2"/>
      <scheme val="minor"/>
    </font>
    <font>
      <b/>
      <sz val="11"/>
      <name val="Calibri"/>
      <family val="2"/>
      <charset val="1"/>
    </font>
    <font>
      <b/>
      <sz val="11"/>
      <name val="Times New Roman"/>
      <family val="1"/>
      <charset val="1"/>
    </font>
    <font>
      <b/>
      <sz val="11"/>
      <name val="Arial"/>
      <family val="2"/>
      <charset val="1"/>
    </font>
    <font>
      <sz val="11"/>
      <name val="Aptos Narrow"/>
      <family val="2"/>
      <scheme val="minor"/>
    </font>
    <font>
      <sz val="11"/>
      <name val="Arial"/>
      <family val="2"/>
      <charset val="1"/>
    </font>
    <font>
      <sz val="11"/>
      <name val="Times New Roman"/>
      <family val="1"/>
      <charset val="1"/>
    </font>
    <font>
      <sz val="11"/>
      <name val="Times New Roman"/>
      <family val="1"/>
    </font>
    <font>
      <u/>
      <sz val="12"/>
      <color theme="10"/>
      <name val="Aptos Narrow"/>
      <family val="2"/>
      <scheme val="minor"/>
    </font>
    <font>
      <sz val="10"/>
      <color theme="1"/>
      <name val="Arial"/>
      <family val="2"/>
    </font>
    <font>
      <sz val="12"/>
      <color rgb="FF1F1F1F"/>
      <name val="Arial"/>
      <family val="2"/>
    </font>
    <font>
      <sz val="9"/>
      <color theme="1"/>
      <name val="Times New Roman"/>
      <family val="1"/>
    </font>
  </fonts>
  <fills count="2">
    <fill>
      <patternFill patternType="none"/>
    </fill>
    <fill>
      <patternFill patternType="gray125"/>
    </fill>
  </fills>
  <borders count="1">
    <border>
      <left/>
      <right/>
      <top/>
      <bottom/>
      <diagonal/>
    </border>
  </borders>
  <cellStyleXfs count="5">
    <xf numFmtId="0" fontId="0" fillId="0" borderId="0"/>
    <xf numFmtId="0" fontId="1" fillId="0" borderId="0"/>
    <xf numFmtId="0" fontId="2" fillId="0" borderId="0"/>
    <xf numFmtId="44" fontId="3" fillId="0" borderId="0" applyFont="0" applyFill="0" applyBorder="0" applyAlignment="0" applyProtection="0"/>
    <xf numFmtId="0" fontId="11" fillId="0" borderId="0" applyNumberFormat="0" applyFill="0" applyBorder="0" applyAlignment="0" applyProtection="0"/>
  </cellStyleXfs>
  <cellXfs count="27">
    <xf numFmtId="0" fontId="0" fillId="0" borderId="0" xfId="0"/>
    <xf numFmtId="0" fontId="4" fillId="0" borderId="0" xfId="1" applyFont="1" applyAlignment="1">
      <alignment horizontal="center" vertical="center" wrapText="1"/>
    </xf>
    <xf numFmtId="44" fontId="4" fillId="0" borderId="0" xfId="3" applyFont="1" applyBorder="1" applyAlignment="1">
      <alignment horizontal="center" vertical="center" wrapText="1"/>
    </xf>
    <xf numFmtId="164" fontId="4" fillId="0" borderId="0" xfId="1" applyNumberFormat="1" applyFont="1" applyAlignment="1">
      <alignment horizontal="center" vertical="center" wrapText="1"/>
    </xf>
    <xf numFmtId="0" fontId="5" fillId="0" borderId="0" xfId="0" applyFont="1" applyAlignment="1">
      <alignment vertical="center"/>
    </xf>
    <xf numFmtId="0" fontId="6" fillId="0" borderId="0" xfId="2" applyFont="1"/>
    <xf numFmtId="0" fontId="7" fillId="0" borderId="0" xfId="0" applyFont="1"/>
    <xf numFmtId="44" fontId="7" fillId="0" borderId="0" xfId="3" applyFont="1" applyBorder="1"/>
    <xf numFmtId="14" fontId="7" fillId="0" borderId="0" xfId="0" applyNumberFormat="1" applyFont="1"/>
    <xf numFmtId="0" fontId="8" fillId="0" borderId="0" xfId="2" applyFont="1" applyAlignment="1">
      <alignment horizontal="left"/>
    </xf>
    <xf numFmtId="0" fontId="7" fillId="0" borderId="0" xfId="0" applyFont="1" applyAlignment="1">
      <alignment wrapText="1"/>
    </xf>
    <xf numFmtId="164" fontId="8" fillId="0" borderId="0" xfId="2" applyNumberFormat="1" applyFont="1" applyAlignment="1">
      <alignment horizontal="left"/>
    </xf>
    <xf numFmtId="0" fontId="8" fillId="0" borderId="0" xfId="0" applyFont="1"/>
    <xf numFmtId="44" fontId="8" fillId="0" borderId="0" xfId="3" applyFont="1" applyBorder="1" applyAlignment="1">
      <alignment horizontal="left"/>
    </xf>
    <xf numFmtId="0" fontId="9" fillId="0" borderId="0" xfId="0" applyFont="1" applyAlignment="1">
      <alignment horizontal="left" vertical="center"/>
    </xf>
    <xf numFmtId="164" fontId="7" fillId="0" borderId="0" xfId="0" applyNumberFormat="1" applyFont="1" applyAlignment="1">
      <alignment horizontal="left"/>
    </xf>
    <xf numFmtId="0" fontId="7" fillId="0" borderId="0" xfId="0" applyFont="1" applyAlignment="1">
      <alignment horizontal="left"/>
    </xf>
    <xf numFmtId="2" fontId="8" fillId="0" borderId="0" xfId="2" applyNumberFormat="1" applyFont="1" applyAlignment="1">
      <alignment horizontal="left" wrapText="1"/>
    </xf>
    <xf numFmtId="0" fontId="8" fillId="0" borderId="0" xfId="2" applyFont="1" applyAlignment="1">
      <alignment horizontal="left" wrapText="1"/>
    </xf>
    <xf numFmtId="0" fontId="10" fillId="0" borderId="0" xfId="0" applyFont="1" applyAlignment="1">
      <alignment vertical="center" wrapText="1"/>
    </xf>
    <xf numFmtId="165" fontId="8" fillId="0" borderId="0" xfId="2" applyNumberFormat="1" applyFont="1" applyAlignment="1">
      <alignment horizontal="left"/>
    </xf>
    <xf numFmtId="44" fontId="10" fillId="0" borderId="0" xfId="3" applyFont="1" applyBorder="1"/>
    <xf numFmtId="0" fontId="10" fillId="0" borderId="0" xfId="0" applyFont="1"/>
    <xf numFmtId="0" fontId="11" fillId="0" borderId="0" xfId="4" applyAlignment="1">
      <alignment horizontal="left"/>
    </xf>
    <xf numFmtId="0" fontId="12" fillId="0" borderId="0" xfId="0" applyFont="1"/>
    <xf numFmtId="0" fontId="13" fillId="0" borderId="0" xfId="0" applyFont="1"/>
    <xf numFmtId="0" fontId="14" fillId="0" borderId="0" xfId="0" applyFont="1" applyAlignment="1">
      <alignment vertical="center"/>
    </xf>
  </cellXfs>
  <cellStyles count="5">
    <cellStyle name="Hipervínculo" xfId="4" builtinId="8"/>
    <cellStyle name="Moneda" xfId="3" builtinId="4"/>
    <cellStyle name="Normal" xfId="0" builtinId="0"/>
    <cellStyle name="Normal 10" xfId="2" xr:uid="{CB8BB4AC-6469-AC4B-8095-88091A58DE0E}"/>
    <cellStyle name="Normal 30 3 2 2" xfId="1" xr:uid="{8502E407-E967-874A-B559-830AA6880E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WordsGPT/psycholinguistics_framework" TargetMode="External"/><Relationship Id="rId3" Type="http://schemas.openxmlformats.org/officeDocument/2006/relationships/hyperlink" Target="https://github.com/CyberAula/CreadorAgentesIA" TargetMode="External"/><Relationship Id="rId7" Type="http://schemas.openxmlformats.org/officeDocument/2006/relationships/hyperlink" Target="https://huggingface.co/spaces/la-leaderboard/la-leaderboard" TargetMode="External"/><Relationship Id="rId2" Type="http://schemas.openxmlformats.org/officeDocument/2006/relationships/hyperlink" Target="https://github.com/YourOpenDAta/ckanext-dcatapedp" TargetMode="External"/><Relationship Id="rId1" Type="http://schemas.openxmlformats.org/officeDocument/2006/relationships/hyperlink" Target="https://sostenibilidadgenerativa.cotec.es/" TargetMode="External"/><Relationship Id="rId6" Type="http://schemas.openxmlformats.org/officeDocument/2006/relationships/hyperlink" Target="https://github.com/YourOpenDAta/ckan_yoda" TargetMode="External"/><Relationship Id="rId5" Type="http://schemas.openxmlformats.org/officeDocument/2006/relationships/hyperlink" Target="https://github.com/ging/fiware-cosmos" TargetMode="External"/><Relationship Id="rId4" Type="http://schemas.openxmlformats.org/officeDocument/2006/relationships/hyperlink" Target="https://github.com/ging/fiware-draco" TargetMode="External"/><Relationship Id="rId9" Type="http://schemas.openxmlformats.org/officeDocument/2006/relationships/hyperlink" Target="https://www.npmjs.com/package/autocor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1B037-901A-694E-AF0C-E75B02C27A26}">
  <dimension ref="A1:AMO55"/>
  <sheetViews>
    <sheetView tabSelected="1" zoomScale="77" zoomScaleNormal="77" workbookViewId="0">
      <pane xSplit="3" ySplit="1" topLeftCell="J17" activePane="bottomRight" state="frozen"/>
      <selection pane="topRight" activeCell="C1" sqref="C1"/>
      <selection pane="bottomLeft" activeCell="A2" sqref="A2"/>
      <selection pane="bottomRight" activeCell="Q50" sqref="Q50"/>
    </sheetView>
  </sheetViews>
  <sheetFormatPr baseColWidth="10" defaultColWidth="11.5" defaultRowHeight="15" x14ac:dyDescent="0.2"/>
  <cols>
    <col min="1" max="1" width="15.33203125" style="9" customWidth="1"/>
    <col min="2" max="3" width="59" style="9" customWidth="1"/>
    <col min="4" max="4" width="114" style="9" customWidth="1"/>
    <col min="5" max="5" width="19.1640625" style="9" customWidth="1"/>
    <col min="6" max="6" width="39" style="9" bestFit="1" customWidth="1"/>
    <col min="7" max="7" width="29.5" style="9" bestFit="1" customWidth="1"/>
    <col min="8" max="8" width="53.83203125" style="9" customWidth="1"/>
    <col min="9" max="10" width="13.1640625" style="13" customWidth="1"/>
    <col min="11" max="12" width="21.33203125" style="9" customWidth="1"/>
    <col min="13" max="13" width="11.83203125" style="11" customWidth="1"/>
    <col min="14" max="14" width="20" style="11" customWidth="1"/>
    <col min="15" max="16" width="22.33203125" style="9" customWidth="1"/>
    <col min="17" max="17" width="15.33203125" style="9" customWidth="1"/>
    <col min="18" max="19" width="11.5" style="9"/>
    <col min="20" max="20" width="25" style="9" bestFit="1" customWidth="1"/>
    <col min="21" max="21" width="14" style="9" bestFit="1" customWidth="1"/>
    <col min="22" max="1029" width="11.5" style="9"/>
    <col min="1030" max="16384" width="11.5" style="6"/>
  </cols>
  <sheetData>
    <row r="1" spans="1:1029" s="5" customFormat="1" ht="64" x14ac:dyDescent="0.15">
      <c r="A1" s="1" t="s">
        <v>57</v>
      </c>
      <c r="B1" s="1" t="s">
        <v>164</v>
      </c>
      <c r="C1" s="1" t="s">
        <v>0</v>
      </c>
      <c r="D1" s="1" t="s">
        <v>122</v>
      </c>
      <c r="E1" s="1" t="s">
        <v>109</v>
      </c>
      <c r="F1" s="1" t="s">
        <v>1</v>
      </c>
      <c r="G1" s="1" t="s">
        <v>2</v>
      </c>
      <c r="H1" s="1" t="s">
        <v>3</v>
      </c>
      <c r="I1" s="2" t="s">
        <v>4</v>
      </c>
      <c r="J1" s="2" t="s">
        <v>5</v>
      </c>
      <c r="K1" s="4" t="s">
        <v>6</v>
      </c>
      <c r="L1" s="4" t="s">
        <v>195</v>
      </c>
      <c r="M1" s="3" t="s">
        <v>7</v>
      </c>
      <c r="N1" s="3" t="s">
        <v>8</v>
      </c>
      <c r="O1" s="1" t="s">
        <v>9</v>
      </c>
      <c r="P1" s="1" t="s">
        <v>10</v>
      </c>
      <c r="Q1" s="1" t="s">
        <v>58</v>
      </c>
      <c r="R1" s="1" t="s">
        <v>11</v>
      </c>
      <c r="S1" s="1" t="s">
        <v>59</v>
      </c>
      <c r="T1" s="1" t="s">
        <v>12</v>
      </c>
      <c r="U1" s="5" t="s">
        <v>101</v>
      </c>
      <c r="V1" s="5" t="s">
        <v>13</v>
      </c>
      <c r="W1" s="5" t="s">
        <v>14</v>
      </c>
    </row>
    <row r="2" spans="1:1029" ht="240" x14ac:dyDescent="0.2">
      <c r="A2" s="6" t="s">
        <v>97</v>
      </c>
      <c r="B2" s="6" t="s">
        <v>63</v>
      </c>
      <c r="C2" s="25" t="s">
        <v>63</v>
      </c>
      <c r="D2" s="6"/>
      <c r="E2" s="6"/>
      <c r="F2" s="6"/>
      <c r="G2" s="6"/>
      <c r="H2" s="6" t="s">
        <v>152</v>
      </c>
      <c r="I2" s="7">
        <v>472500</v>
      </c>
      <c r="J2" s="7"/>
      <c r="K2" s="6" t="s">
        <v>61</v>
      </c>
      <c r="L2" s="6"/>
      <c r="M2" s="8">
        <v>45444</v>
      </c>
      <c r="N2" s="8">
        <v>46538</v>
      </c>
      <c r="O2" s="9">
        <f>DATEDIF(M2,N2+1, "M")</f>
        <v>36</v>
      </c>
      <c r="P2" s="6"/>
      <c r="Q2" s="6" t="s">
        <v>75</v>
      </c>
      <c r="R2" s="6"/>
      <c r="S2" s="6" t="s">
        <v>62</v>
      </c>
      <c r="T2" s="6" t="s">
        <v>86</v>
      </c>
      <c r="U2" s="9" t="s">
        <v>62</v>
      </c>
      <c r="V2" s="10" t="s">
        <v>16</v>
      </c>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row>
    <row r="3" spans="1:1029" ht="16" x14ac:dyDescent="0.2">
      <c r="A3" s="6" t="s">
        <v>98</v>
      </c>
      <c r="B3" s="6" t="s">
        <v>17</v>
      </c>
      <c r="C3" s="25" t="s">
        <v>17</v>
      </c>
      <c r="D3" s="6"/>
      <c r="E3" s="6"/>
      <c r="F3" s="6"/>
      <c r="G3" s="6" t="s">
        <v>18</v>
      </c>
      <c r="H3" s="6" t="s">
        <v>111</v>
      </c>
      <c r="I3" s="7">
        <v>47000</v>
      </c>
      <c r="J3" s="7">
        <v>47000</v>
      </c>
      <c r="K3" s="6" t="s">
        <v>22</v>
      </c>
      <c r="L3" s="6"/>
      <c r="M3" s="11">
        <v>45231</v>
      </c>
      <c r="N3" s="11">
        <v>45504</v>
      </c>
      <c r="O3" s="9">
        <f t="shared" ref="O3:O25" si="0">DATEDIF(M3,N3+1, "M")</f>
        <v>9</v>
      </c>
      <c r="P3" s="6"/>
      <c r="Q3" s="6" t="s">
        <v>73</v>
      </c>
      <c r="R3" s="6"/>
      <c r="S3" s="6" t="s">
        <v>60</v>
      </c>
      <c r="T3" s="6" t="s">
        <v>19</v>
      </c>
      <c r="U3" s="6" t="s">
        <v>62</v>
      </c>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c r="AMI3" s="6"/>
      <c r="AMJ3" s="6"/>
      <c r="AMK3" s="6"/>
      <c r="AML3" s="6"/>
      <c r="AMM3" s="6"/>
      <c r="AMN3" s="6"/>
      <c r="AMO3" s="6"/>
    </row>
    <row r="4" spans="1:1029" ht="16" x14ac:dyDescent="0.2">
      <c r="A4" s="6" t="s">
        <v>98</v>
      </c>
      <c r="B4" s="6" t="s">
        <v>20</v>
      </c>
      <c r="C4" s="25" t="s">
        <v>20</v>
      </c>
      <c r="D4" s="6"/>
      <c r="E4" s="6"/>
      <c r="F4" s="6"/>
      <c r="G4" s="6" t="s">
        <v>21</v>
      </c>
      <c r="H4" s="6" t="s">
        <v>153</v>
      </c>
      <c r="I4" s="7">
        <v>75000</v>
      </c>
      <c r="J4" s="7">
        <v>75000</v>
      </c>
      <c r="K4" s="6" t="s">
        <v>22</v>
      </c>
      <c r="L4" s="6"/>
      <c r="M4" s="11">
        <v>45261</v>
      </c>
      <c r="N4" s="11">
        <v>45626</v>
      </c>
      <c r="O4" s="9">
        <f t="shared" si="0"/>
        <v>12</v>
      </c>
      <c r="P4" s="6"/>
      <c r="Q4" s="6" t="s">
        <v>73</v>
      </c>
      <c r="R4" s="6"/>
      <c r="S4" s="6" t="s">
        <v>60</v>
      </c>
      <c r="T4" s="6" t="s">
        <v>19</v>
      </c>
      <c r="U4" s="6" t="s">
        <v>62</v>
      </c>
      <c r="V4" s="6"/>
      <c r="W4" s="6" t="s">
        <v>23</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c r="AMI4" s="6"/>
      <c r="AMJ4" s="6"/>
      <c r="AMK4" s="6"/>
      <c r="AML4" s="6"/>
      <c r="AMM4" s="6"/>
      <c r="AMN4" s="6"/>
      <c r="AMO4" s="6"/>
    </row>
    <row r="5" spans="1:1029" ht="32" x14ac:dyDescent="0.2">
      <c r="A5" s="6" t="s">
        <v>97</v>
      </c>
      <c r="B5" s="10" t="s">
        <v>64</v>
      </c>
      <c r="C5" s="25" t="s">
        <v>165</v>
      </c>
      <c r="D5" s="10"/>
      <c r="E5" s="10"/>
      <c r="F5" s="6"/>
      <c r="G5" s="6"/>
      <c r="H5" s="6" t="s">
        <v>154</v>
      </c>
      <c r="I5" s="7">
        <v>750356</v>
      </c>
      <c r="J5" s="7"/>
      <c r="K5" s="6" t="s">
        <v>22</v>
      </c>
      <c r="L5" s="6"/>
      <c r="M5" s="11">
        <v>45289</v>
      </c>
      <c r="N5" s="11">
        <v>46203</v>
      </c>
      <c r="O5" s="9">
        <f t="shared" si="0"/>
        <v>30</v>
      </c>
      <c r="P5" s="6"/>
      <c r="Q5" s="6" t="s">
        <v>73</v>
      </c>
      <c r="R5" s="6" t="s">
        <v>24</v>
      </c>
      <c r="S5" s="6" t="s">
        <v>60</v>
      </c>
      <c r="T5" s="6" t="s">
        <v>25</v>
      </c>
      <c r="U5" s="6" t="s">
        <v>60</v>
      </c>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c r="AMI5" s="6"/>
      <c r="AMJ5" s="6"/>
      <c r="AMK5" s="6"/>
      <c r="AML5" s="6"/>
      <c r="AMM5" s="6"/>
      <c r="AMN5" s="6"/>
      <c r="AMO5" s="6"/>
    </row>
    <row r="6" spans="1:1029" ht="315" customHeight="1" x14ac:dyDescent="0.2">
      <c r="A6" s="6" t="s">
        <v>97</v>
      </c>
      <c r="B6" s="6" t="s">
        <v>26</v>
      </c>
      <c r="C6" s="25" t="s">
        <v>166</v>
      </c>
      <c r="D6" s="6"/>
      <c r="E6" s="6"/>
      <c r="F6" s="6" t="s">
        <v>27</v>
      </c>
      <c r="G6" s="12" t="s">
        <v>28</v>
      </c>
      <c r="H6" s="24" t="s">
        <v>155</v>
      </c>
      <c r="I6" s="13">
        <v>177500</v>
      </c>
      <c r="J6" s="13">
        <v>177500</v>
      </c>
      <c r="K6" s="10" t="s">
        <v>74</v>
      </c>
      <c r="L6" s="10"/>
      <c r="M6" s="11">
        <v>45170</v>
      </c>
      <c r="N6" s="11">
        <v>46265</v>
      </c>
      <c r="O6" s="9">
        <f t="shared" si="0"/>
        <v>36</v>
      </c>
      <c r="P6" s="6"/>
      <c r="Q6" s="6" t="s">
        <v>73</v>
      </c>
      <c r="R6" s="10" t="s">
        <v>29</v>
      </c>
      <c r="S6" s="10" t="s">
        <v>60</v>
      </c>
      <c r="T6" s="10" t="s">
        <v>30</v>
      </c>
      <c r="U6" s="9" t="s">
        <v>62</v>
      </c>
      <c r="V6" s="6"/>
      <c r="W6" s="6" t="s">
        <v>31</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c r="AMI6" s="6"/>
      <c r="AMJ6" s="6"/>
      <c r="AMK6" s="6"/>
      <c r="AML6" s="6"/>
      <c r="AMM6" s="6"/>
      <c r="AMN6" s="6"/>
      <c r="AMO6" s="6"/>
    </row>
    <row r="7" spans="1:1029" ht="16" x14ac:dyDescent="0.2">
      <c r="A7" s="9" t="s">
        <v>98</v>
      </c>
      <c r="B7" s="9" t="s">
        <v>32</v>
      </c>
      <c r="C7" s="25" t="s">
        <v>167</v>
      </c>
      <c r="F7" s="9" t="s">
        <v>33</v>
      </c>
      <c r="H7" s="9" t="s">
        <v>108</v>
      </c>
      <c r="I7" s="13">
        <v>18000</v>
      </c>
      <c r="J7" s="13">
        <v>18000</v>
      </c>
      <c r="K7" s="9" t="s">
        <v>34</v>
      </c>
      <c r="M7" s="11">
        <v>45107</v>
      </c>
      <c r="N7" s="11">
        <v>45291</v>
      </c>
      <c r="O7" s="9">
        <f t="shared" si="0"/>
        <v>6</v>
      </c>
      <c r="P7" s="14"/>
      <c r="Q7" s="9" t="s">
        <v>73</v>
      </c>
      <c r="S7" s="9" t="s">
        <v>60</v>
      </c>
      <c r="T7" s="9" t="s">
        <v>15</v>
      </c>
      <c r="U7" s="9" t="s">
        <v>62</v>
      </c>
      <c r="W7" s="11"/>
    </row>
    <row r="8" spans="1:1029" ht="16" x14ac:dyDescent="0.2">
      <c r="A8" s="9" t="s">
        <v>98</v>
      </c>
      <c r="B8" s="9" t="s">
        <v>112</v>
      </c>
      <c r="C8" s="25" t="s">
        <v>168</v>
      </c>
      <c r="G8" s="9" t="s">
        <v>35</v>
      </c>
      <c r="H8" s="9" t="s">
        <v>107</v>
      </c>
      <c r="I8" s="13">
        <v>87120</v>
      </c>
      <c r="J8" s="13">
        <v>87120</v>
      </c>
      <c r="K8" s="9" t="s">
        <v>36</v>
      </c>
      <c r="M8" s="11">
        <v>45006</v>
      </c>
      <c r="N8" s="11">
        <v>45443</v>
      </c>
      <c r="O8" s="9">
        <f t="shared" si="0"/>
        <v>14</v>
      </c>
      <c r="Q8" s="9" t="s">
        <v>73</v>
      </c>
      <c r="S8" s="9" t="s">
        <v>60</v>
      </c>
      <c r="T8" s="9" t="s">
        <v>19</v>
      </c>
      <c r="U8" s="9" t="s">
        <v>62</v>
      </c>
      <c r="V8" s="15"/>
    </row>
    <row r="9" spans="1:1029" ht="16" x14ac:dyDescent="0.2">
      <c r="A9" s="9" t="s">
        <v>98</v>
      </c>
      <c r="B9" s="9" t="s">
        <v>37</v>
      </c>
      <c r="C9" s="25" t="s">
        <v>169</v>
      </c>
      <c r="G9" s="9" t="s">
        <v>38</v>
      </c>
      <c r="H9" s="24" t="s">
        <v>156</v>
      </c>
      <c r="I9" s="13">
        <v>15730</v>
      </c>
      <c r="J9" s="13">
        <v>15730</v>
      </c>
      <c r="K9" s="9" t="s">
        <v>39</v>
      </c>
      <c r="M9" s="11">
        <v>44986</v>
      </c>
      <c r="N9" s="11">
        <v>45169</v>
      </c>
      <c r="O9" s="9">
        <f t="shared" si="0"/>
        <v>6</v>
      </c>
      <c r="Q9" s="9" t="s">
        <v>73</v>
      </c>
      <c r="S9" s="9" t="s">
        <v>60</v>
      </c>
      <c r="T9" s="9" t="s">
        <v>85</v>
      </c>
      <c r="U9" s="9" t="s">
        <v>62</v>
      </c>
      <c r="V9" s="16"/>
    </row>
    <row r="10" spans="1:1029" ht="151" x14ac:dyDescent="0.2">
      <c r="A10" s="9" t="s">
        <v>97</v>
      </c>
      <c r="B10" s="9" t="s">
        <v>87</v>
      </c>
      <c r="C10" s="25" t="s">
        <v>170</v>
      </c>
      <c r="F10" s="9" t="s">
        <v>40</v>
      </c>
      <c r="G10" s="9" t="s">
        <v>41</v>
      </c>
      <c r="H10" s="24" t="s">
        <v>151</v>
      </c>
      <c r="I10" s="13">
        <v>241231.5</v>
      </c>
      <c r="J10" s="13">
        <v>241231.5</v>
      </c>
      <c r="K10" s="17" t="s">
        <v>42</v>
      </c>
      <c r="L10" s="17"/>
      <c r="M10" s="11">
        <v>44896</v>
      </c>
      <c r="N10" s="11">
        <v>45626</v>
      </c>
      <c r="O10" s="9">
        <f t="shared" si="0"/>
        <v>24</v>
      </c>
      <c r="Q10" s="9" t="s">
        <v>73</v>
      </c>
      <c r="S10" s="9" t="s">
        <v>60</v>
      </c>
      <c r="T10" s="9" t="s">
        <v>88</v>
      </c>
      <c r="U10" s="9" t="s">
        <v>62</v>
      </c>
      <c r="V10" s="16" t="s">
        <v>89</v>
      </c>
    </row>
    <row r="11" spans="1:1029" ht="61" x14ac:dyDescent="0.2">
      <c r="A11" s="9" t="s">
        <v>98</v>
      </c>
      <c r="B11" s="9" t="s">
        <v>99</v>
      </c>
      <c r="C11" s="25" t="s">
        <v>171</v>
      </c>
      <c r="G11" s="9" t="s">
        <v>43</v>
      </c>
      <c r="H11" s="9" t="s">
        <v>157</v>
      </c>
      <c r="I11" s="13">
        <v>60000</v>
      </c>
      <c r="J11" s="13">
        <v>60000</v>
      </c>
      <c r="K11" s="18" t="s">
        <v>44</v>
      </c>
      <c r="L11" s="18"/>
      <c r="M11" s="11">
        <v>44743</v>
      </c>
      <c r="N11" s="11">
        <v>44985</v>
      </c>
      <c r="O11" s="9">
        <f t="shared" si="0"/>
        <v>8</v>
      </c>
      <c r="P11" s="14"/>
      <c r="Q11" s="9" t="s">
        <v>73</v>
      </c>
      <c r="S11" s="9" t="s">
        <v>60</v>
      </c>
      <c r="U11" s="9" t="s">
        <v>62</v>
      </c>
      <c r="V11" s="16"/>
    </row>
    <row r="12" spans="1:1029" ht="15" customHeight="1" x14ac:dyDescent="0.2">
      <c r="A12" s="9" t="s">
        <v>98</v>
      </c>
      <c r="B12" s="9" t="s">
        <v>45</v>
      </c>
      <c r="C12" s="25" t="s">
        <v>172</v>
      </c>
      <c r="G12" s="9" t="s">
        <v>46</v>
      </c>
      <c r="H12" s="9" t="s">
        <v>158</v>
      </c>
      <c r="I12" s="13">
        <v>28800</v>
      </c>
      <c r="J12" s="13">
        <v>28800</v>
      </c>
      <c r="K12" s="9" t="s">
        <v>47</v>
      </c>
      <c r="M12" s="11">
        <v>44663</v>
      </c>
      <c r="N12" s="11">
        <v>44985</v>
      </c>
      <c r="O12" s="9">
        <f t="shared" si="0"/>
        <v>10</v>
      </c>
      <c r="P12" s="14"/>
      <c r="Q12" s="9" t="s">
        <v>73</v>
      </c>
      <c r="S12" s="9" t="s">
        <v>60</v>
      </c>
      <c r="U12" s="9" t="s">
        <v>62</v>
      </c>
      <c r="V12" s="16"/>
    </row>
    <row r="13" spans="1:1029" ht="91" x14ac:dyDescent="0.2">
      <c r="A13" s="9" t="s">
        <v>97</v>
      </c>
      <c r="B13" s="9" t="s">
        <v>90</v>
      </c>
      <c r="C13" s="25" t="s">
        <v>90</v>
      </c>
      <c r="F13" s="9">
        <v>22117</v>
      </c>
      <c r="H13" s="9" t="s">
        <v>48</v>
      </c>
      <c r="I13" s="13">
        <v>64878</v>
      </c>
      <c r="J13" s="13">
        <v>64878</v>
      </c>
      <c r="K13" s="18" t="s">
        <v>49</v>
      </c>
      <c r="L13" s="18"/>
      <c r="M13" s="11">
        <v>44562</v>
      </c>
      <c r="N13" s="11">
        <v>44926</v>
      </c>
      <c r="O13" s="9">
        <f t="shared" si="0"/>
        <v>12</v>
      </c>
      <c r="P13" s="14"/>
      <c r="Q13" s="9" t="s">
        <v>75</v>
      </c>
      <c r="R13" s="9">
        <v>9924562</v>
      </c>
      <c r="S13" s="9" t="s">
        <v>60</v>
      </c>
      <c r="T13" s="9" t="s">
        <v>50</v>
      </c>
      <c r="U13" s="9" t="s">
        <v>62</v>
      </c>
      <c r="V13" s="16"/>
      <c r="W13" s="9" t="s">
        <v>95</v>
      </c>
    </row>
    <row r="14" spans="1:1029" ht="76" x14ac:dyDescent="0.2">
      <c r="A14" s="9" t="s">
        <v>97</v>
      </c>
      <c r="B14" s="9" t="s">
        <v>92</v>
      </c>
      <c r="C14" s="25" t="s">
        <v>92</v>
      </c>
      <c r="F14" s="9" t="s">
        <v>51</v>
      </c>
      <c r="H14" s="16" t="s">
        <v>66</v>
      </c>
      <c r="I14" s="13">
        <v>241232</v>
      </c>
      <c r="J14" s="13">
        <v>241232</v>
      </c>
      <c r="K14" s="18" t="s">
        <v>52</v>
      </c>
      <c r="L14" s="18"/>
      <c r="M14" s="11">
        <v>44075</v>
      </c>
      <c r="N14" s="11">
        <v>44985</v>
      </c>
      <c r="O14" s="9">
        <f t="shared" si="0"/>
        <v>30</v>
      </c>
      <c r="P14" s="14" t="s">
        <v>53</v>
      </c>
      <c r="Q14" s="9" t="s">
        <v>75</v>
      </c>
      <c r="R14" s="9">
        <v>9283997</v>
      </c>
      <c r="S14" s="9" t="s">
        <v>60</v>
      </c>
      <c r="T14" s="9" t="s">
        <v>50</v>
      </c>
      <c r="U14" s="9" t="s">
        <v>62</v>
      </c>
      <c r="W14" s="9" t="s">
        <v>94</v>
      </c>
    </row>
    <row r="15" spans="1:1029" ht="16" x14ac:dyDescent="0.2">
      <c r="A15" s="9" t="s">
        <v>97</v>
      </c>
      <c r="B15" s="9" t="s">
        <v>91</v>
      </c>
      <c r="C15" s="25" t="s">
        <v>91</v>
      </c>
      <c r="F15" s="9" t="s">
        <v>54</v>
      </c>
      <c r="G15" s="9" t="s">
        <v>55</v>
      </c>
      <c r="H15" s="9" t="s">
        <v>159</v>
      </c>
      <c r="I15" s="13">
        <v>55462.71</v>
      </c>
      <c r="J15" s="13">
        <v>55462.71</v>
      </c>
      <c r="K15" s="9" t="s">
        <v>22</v>
      </c>
      <c r="M15" s="11">
        <v>43862</v>
      </c>
      <c r="N15" s="11">
        <v>44195</v>
      </c>
      <c r="O15" s="9">
        <f t="shared" si="0"/>
        <v>10</v>
      </c>
      <c r="Q15" s="9" t="s">
        <v>72</v>
      </c>
      <c r="S15" s="9" t="s">
        <v>60</v>
      </c>
      <c r="U15" s="9" t="s">
        <v>62</v>
      </c>
    </row>
    <row r="16" spans="1:1029" ht="16" x14ac:dyDescent="0.2">
      <c r="A16" s="9" t="s">
        <v>97</v>
      </c>
      <c r="B16" s="9" t="s">
        <v>93</v>
      </c>
      <c r="C16" s="25" t="s">
        <v>93</v>
      </c>
      <c r="F16" s="9">
        <v>20228</v>
      </c>
      <c r="H16" s="9" t="s">
        <v>48</v>
      </c>
      <c r="I16" s="13">
        <v>83709</v>
      </c>
      <c r="J16" s="13">
        <v>83709</v>
      </c>
      <c r="K16" s="9" t="s">
        <v>56</v>
      </c>
      <c r="M16" s="11">
        <v>43831</v>
      </c>
      <c r="N16" s="11">
        <v>44196</v>
      </c>
      <c r="O16" s="9">
        <f t="shared" si="0"/>
        <v>12</v>
      </c>
      <c r="P16" s="11">
        <v>44117</v>
      </c>
      <c r="Q16" s="9" t="s">
        <v>75</v>
      </c>
      <c r="R16" s="9">
        <v>9284128</v>
      </c>
      <c r="S16" s="9" t="s">
        <v>60</v>
      </c>
      <c r="T16" s="9" t="s">
        <v>50</v>
      </c>
      <c r="U16" s="9" t="s">
        <v>62</v>
      </c>
      <c r="W16" s="9" t="s">
        <v>95</v>
      </c>
    </row>
    <row r="17" spans="1:22" ht="30" x14ac:dyDescent="0.2">
      <c r="A17" s="9" t="s">
        <v>97</v>
      </c>
      <c r="B17" s="19" t="s">
        <v>96</v>
      </c>
      <c r="C17" s="25" t="s">
        <v>173</v>
      </c>
      <c r="D17" s="19"/>
      <c r="E17" s="19"/>
      <c r="F17" s="20"/>
      <c r="H17" s="24" t="s">
        <v>160</v>
      </c>
      <c r="I17" s="13">
        <v>872017</v>
      </c>
      <c r="M17" s="11">
        <v>45748</v>
      </c>
      <c r="N17" s="11">
        <v>46203</v>
      </c>
      <c r="O17" s="9">
        <f t="shared" si="0"/>
        <v>15</v>
      </c>
      <c r="P17" s="14"/>
      <c r="Q17" s="9" t="s">
        <v>73</v>
      </c>
      <c r="S17" s="9" t="s">
        <v>60</v>
      </c>
      <c r="U17" s="9" t="s">
        <v>60</v>
      </c>
    </row>
    <row r="18" spans="1:22" ht="16" x14ac:dyDescent="0.2">
      <c r="A18" s="9" t="s">
        <v>97</v>
      </c>
      <c r="B18" s="9" t="s">
        <v>65</v>
      </c>
      <c r="C18" s="25" t="s">
        <v>65</v>
      </c>
      <c r="H18" s="9" t="s">
        <v>66</v>
      </c>
      <c r="I18" s="13">
        <v>88066</v>
      </c>
      <c r="J18" s="21">
        <v>88066</v>
      </c>
      <c r="M18" s="11">
        <v>45717</v>
      </c>
      <c r="N18" s="11">
        <v>46446</v>
      </c>
      <c r="O18" s="9">
        <f t="shared" si="0"/>
        <v>24</v>
      </c>
      <c r="P18" s="14"/>
      <c r="Q18" s="9" t="s">
        <v>75</v>
      </c>
      <c r="S18" s="9" t="s">
        <v>60</v>
      </c>
      <c r="T18" s="9" t="s">
        <v>67</v>
      </c>
      <c r="U18" s="9" t="s">
        <v>60</v>
      </c>
    </row>
    <row r="19" spans="1:22" ht="16" x14ac:dyDescent="0.2">
      <c r="A19" s="9" t="s">
        <v>97</v>
      </c>
      <c r="B19" s="9" t="s">
        <v>69</v>
      </c>
      <c r="C19" s="25" t="s">
        <v>174</v>
      </c>
      <c r="H19" s="9" t="s">
        <v>150</v>
      </c>
      <c r="I19" s="21">
        <v>30000</v>
      </c>
      <c r="J19" s="21">
        <v>30000</v>
      </c>
      <c r="M19" s="11">
        <v>45662</v>
      </c>
      <c r="N19" s="11">
        <v>46418</v>
      </c>
      <c r="O19" s="9">
        <f t="shared" si="0"/>
        <v>24</v>
      </c>
      <c r="Q19" s="9" t="s">
        <v>76</v>
      </c>
      <c r="S19" s="9" t="s">
        <v>60</v>
      </c>
      <c r="T19" s="9" t="s">
        <v>15</v>
      </c>
      <c r="U19" s="9" t="s">
        <v>60</v>
      </c>
      <c r="V19" s="9" t="s">
        <v>70</v>
      </c>
    </row>
    <row r="20" spans="1:22" ht="16" x14ac:dyDescent="0.2">
      <c r="A20" s="9" t="s">
        <v>97</v>
      </c>
      <c r="B20" s="9" t="s">
        <v>71</v>
      </c>
      <c r="C20" s="25" t="s">
        <v>175</v>
      </c>
      <c r="F20" s="20"/>
      <c r="H20" s="9" t="s">
        <v>159</v>
      </c>
      <c r="I20" s="13">
        <v>142220</v>
      </c>
      <c r="J20" s="13">
        <v>142220</v>
      </c>
      <c r="M20" s="11">
        <v>45658</v>
      </c>
      <c r="N20" s="11">
        <v>47118</v>
      </c>
      <c r="O20" s="9">
        <f t="shared" si="0"/>
        <v>48</v>
      </c>
      <c r="Q20" s="9" t="s">
        <v>72</v>
      </c>
      <c r="S20" s="9" t="s">
        <v>60</v>
      </c>
      <c r="T20" s="9" t="s">
        <v>67</v>
      </c>
      <c r="U20" s="9" t="s">
        <v>60</v>
      </c>
    </row>
    <row r="21" spans="1:22" ht="16" x14ac:dyDescent="0.2">
      <c r="A21" s="9" t="s">
        <v>97</v>
      </c>
      <c r="B21" s="9" t="s">
        <v>77</v>
      </c>
      <c r="C21" s="25" t="s">
        <v>77</v>
      </c>
      <c r="H21" s="9" t="s">
        <v>78</v>
      </c>
      <c r="I21" s="13">
        <v>71740</v>
      </c>
      <c r="J21" s="13">
        <v>71740</v>
      </c>
      <c r="M21" s="11">
        <v>45536</v>
      </c>
      <c r="N21" s="11">
        <v>46326</v>
      </c>
      <c r="O21" s="9">
        <f t="shared" si="0"/>
        <v>26</v>
      </c>
      <c r="Q21" s="9" t="s">
        <v>79</v>
      </c>
      <c r="S21" s="9" t="s">
        <v>60</v>
      </c>
      <c r="T21" s="9" t="s">
        <v>80</v>
      </c>
      <c r="U21" s="9" t="s">
        <v>60</v>
      </c>
      <c r="V21" s="9" t="s">
        <v>68</v>
      </c>
    </row>
    <row r="22" spans="1:22" ht="16" x14ac:dyDescent="0.2">
      <c r="A22" s="9" t="s">
        <v>97</v>
      </c>
      <c r="B22" s="9" t="s">
        <v>81</v>
      </c>
      <c r="C22" s="25" t="s">
        <v>176</v>
      </c>
      <c r="H22" s="9" t="s">
        <v>22</v>
      </c>
      <c r="I22" s="13">
        <v>4000</v>
      </c>
      <c r="J22" s="13">
        <v>4000</v>
      </c>
      <c r="M22" s="11">
        <v>45436</v>
      </c>
      <c r="N22" s="11">
        <v>45800</v>
      </c>
      <c r="O22" s="9">
        <f t="shared" si="0"/>
        <v>12</v>
      </c>
      <c r="Q22" s="9" t="s">
        <v>82</v>
      </c>
      <c r="S22" s="9" t="s">
        <v>62</v>
      </c>
      <c r="T22" s="9" t="s">
        <v>83</v>
      </c>
      <c r="U22" s="9" t="s">
        <v>62</v>
      </c>
      <c r="V22" s="9" t="s">
        <v>84</v>
      </c>
    </row>
    <row r="23" spans="1:22" ht="16" x14ac:dyDescent="0.2">
      <c r="A23" s="9" t="s">
        <v>98</v>
      </c>
      <c r="B23" s="9" t="s">
        <v>100</v>
      </c>
      <c r="C23" s="25" t="s">
        <v>177</v>
      </c>
      <c r="H23" s="9" t="s">
        <v>161</v>
      </c>
      <c r="I23" s="13">
        <v>75000</v>
      </c>
      <c r="J23" s="13">
        <v>75000</v>
      </c>
      <c r="M23" s="11">
        <v>46023</v>
      </c>
      <c r="N23" s="11">
        <v>46387</v>
      </c>
      <c r="O23" s="9">
        <f t="shared" si="0"/>
        <v>12</v>
      </c>
      <c r="Q23" s="9" t="s">
        <v>73</v>
      </c>
      <c r="S23" s="9" t="s">
        <v>60</v>
      </c>
      <c r="T23" s="9" t="s">
        <v>19</v>
      </c>
      <c r="U23" s="9" t="s">
        <v>62</v>
      </c>
    </row>
    <row r="24" spans="1:22" ht="16" x14ac:dyDescent="0.2">
      <c r="A24" s="9" t="s">
        <v>98</v>
      </c>
      <c r="B24" s="22" t="s">
        <v>102</v>
      </c>
      <c r="C24" s="25" t="s">
        <v>178</v>
      </c>
      <c r="D24" s="22"/>
      <c r="E24" s="22"/>
      <c r="H24" s="9" t="s">
        <v>103</v>
      </c>
      <c r="I24" s="21">
        <v>90750</v>
      </c>
      <c r="J24" s="21">
        <v>90750</v>
      </c>
      <c r="M24" s="11">
        <v>45962</v>
      </c>
      <c r="N24" s="11">
        <v>46325</v>
      </c>
      <c r="O24" s="9">
        <f t="shared" si="0"/>
        <v>11</v>
      </c>
      <c r="Q24" s="9" t="s">
        <v>73</v>
      </c>
      <c r="S24" s="9" t="s">
        <v>62</v>
      </c>
      <c r="T24" s="9" t="s">
        <v>19</v>
      </c>
      <c r="U24" s="9" t="s">
        <v>62</v>
      </c>
    </row>
    <row r="25" spans="1:22" ht="16" x14ac:dyDescent="0.2">
      <c r="A25" s="9" t="s">
        <v>98</v>
      </c>
      <c r="B25" s="9" t="s">
        <v>104</v>
      </c>
      <c r="C25" s="25" t="s">
        <v>179</v>
      </c>
      <c r="E25" s="23" t="s">
        <v>110</v>
      </c>
      <c r="H25" s="9" t="s">
        <v>162</v>
      </c>
      <c r="I25" s="21">
        <v>40000</v>
      </c>
      <c r="J25" s="21">
        <v>40000</v>
      </c>
      <c r="M25" s="11">
        <v>45643</v>
      </c>
      <c r="N25" s="11">
        <v>46007</v>
      </c>
      <c r="O25" s="9">
        <f t="shared" si="0"/>
        <v>12</v>
      </c>
      <c r="Q25" s="9" t="s">
        <v>73</v>
      </c>
      <c r="S25" s="9" t="s">
        <v>62</v>
      </c>
      <c r="T25" s="9" t="s">
        <v>83</v>
      </c>
      <c r="U25" s="9" t="s">
        <v>62</v>
      </c>
      <c r="V25" s="9" t="s">
        <v>105</v>
      </c>
    </row>
    <row r="26" spans="1:22" ht="16" x14ac:dyDescent="0.2">
      <c r="A26" s="9" t="s">
        <v>98</v>
      </c>
      <c r="B26" s="22" t="s">
        <v>106</v>
      </c>
      <c r="C26" s="25" t="s">
        <v>180</v>
      </c>
      <c r="D26" s="22"/>
      <c r="E26" s="22"/>
      <c r="H26" s="9" t="s">
        <v>163</v>
      </c>
      <c r="I26" s="13">
        <v>37510</v>
      </c>
      <c r="J26" s="13">
        <v>37510</v>
      </c>
      <c r="M26" s="11">
        <v>45359</v>
      </c>
      <c r="N26" s="11">
        <v>45838</v>
      </c>
      <c r="O26" s="9">
        <f>DATEDIF(M26,N26+1, "M")</f>
        <v>15</v>
      </c>
      <c r="Q26" s="9" t="s">
        <v>73</v>
      </c>
      <c r="S26" s="9" t="s">
        <v>60</v>
      </c>
      <c r="T26" s="9" t="s">
        <v>19</v>
      </c>
      <c r="U26" s="9" t="s">
        <v>62</v>
      </c>
    </row>
    <row r="27" spans="1:22" ht="31" x14ac:dyDescent="0.2">
      <c r="A27" s="9" t="s">
        <v>114</v>
      </c>
      <c r="B27" s="9" t="s">
        <v>113</v>
      </c>
      <c r="C27" s="25" t="s">
        <v>113</v>
      </c>
      <c r="D27" s="18" t="s">
        <v>125</v>
      </c>
      <c r="E27" s="9" t="s">
        <v>124</v>
      </c>
      <c r="O27" s="9">
        <f t="shared" ref="O27:O43" si="1">DATEDIF(M27,N27+1, "M")</f>
        <v>0</v>
      </c>
    </row>
    <row r="28" spans="1:22" ht="31" x14ac:dyDescent="0.2">
      <c r="A28" s="9" t="s">
        <v>114</v>
      </c>
      <c r="B28" s="9" t="s">
        <v>126</v>
      </c>
      <c r="C28" s="25" t="s">
        <v>126</v>
      </c>
      <c r="D28" s="18" t="s">
        <v>127</v>
      </c>
      <c r="E28" s="23" t="s">
        <v>128</v>
      </c>
      <c r="O28" s="9">
        <f t="shared" si="1"/>
        <v>0</v>
      </c>
    </row>
    <row r="29" spans="1:22" ht="16" x14ac:dyDescent="0.2">
      <c r="A29" s="9" t="s">
        <v>114</v>
      </c>
      <c r="B29" s="9" t="s">
        <v>115</v>
      </c>
      <c r="C29" s="25" t="s">
        <v>115</v>
      </c>
      <c r="D29" s="9" t="s">
        <v>129</v>
      </c>
      <c r="E29" s="23" t="s">
        <v>192</v>
      </c>
      <c r="O29" s="9">
        <f t="shared" si="1"/>
        <v>0</v>
      </c>
    </row>
    <row r="30" spans="1:22" ht="16" x14ac:dyDescent="0.2">
      <c r="A30" s="9" t="s">
        <v>114</v>
      </c>
      <c r="B30" s="9" t="s">
        <v>117</v>
      </c>
      <c r="C30" s="25" t="s">
        <v>117</v>
      </c>
      <c r="D30" t="s">
        <v>130</v>
      </c>
      <c r="E30" s="23" t="s">
        <v>141</v>
      </c>
      <c r="O30" s="9">
        <f t="shared" si="1"/>
        <v>0</v>
      </c>
    </row>
    <row r="31" spans="1:22" ht="16" x14ac:dyDescent="0.2">
      <c r="A31" s="9" t="s">
        <v>114</v>
      </c>
      <c r="B31" s="9" t="s">
        <v>116</v>
      </c>
      <c r="C31" s="25" t="s">
        <v>116</v>
      </c>
      <c r="D31" s="9" t="s">
        <v>131</v>
      </c>
      <c r="E31" s="23" t="s">
        <v>142</v>
      </c>
      <c r="O31" s="9">
        <f t="shared" si="1"/>
        <v>0</v>
      </c>
    </row>
    <row r="32" spans="1:22" ht="16" x14ac:dyDescent="0.2">
      <c r="A32" s="9" t="s">
        <v>114</v>
      </c>
      <c r="B32" s="9" t="s">
        <v>118</v>
      </c>
      <c r="C32" s="25" t="s">
        <v>118</v>
      </c>
      <c r="D32" s="9" t="s">
        <v>132</v>
      </c>
      <c r="E32" s="23" t="s">
        <v>149</v>
      </c>
      <c r="O32" s="9">
        <f t="shared" si="1"/>
        <v>0</v>
      </c>
    </row>
    <row r="33" spans="1:22" ht="16" x14ac:dyDescent="0.2">
      <c r="A33" s="9" t="s">
        <v>114</v>
      </c>
      <c r="B33" s="9" t="s">
        <v>119</v>
      </c>
      <c r="C33" s="25" t="s">
        <v>119</v>
      </c>
      <c r="D33" s="9" t="s">
        <v>133</v>
      </c>
      <c r="O33" s="9">
        <f t="shared" si="1"/>
        <v>0</v>
      </c>
    </row>
    <row r="34" spans="1:22" ht="16" x14ac:dyDescent="0.2">
      <c r="A34" s="9" t="s">
        <v>114</v>
      </c>
      <c r="B34" s="9" t="s">
        <v>120</v>
      </c>
      <c r="C34" s="25" t="s">
        <v>181</v>
      </c>
      <c r="D34" s="9" t="s">
        <v>135</v>
      </c>
      <c r="O34" s="9">
        <f t="shared" si="1"/>
        <v>0</v>
      </c>
    </row>
    <row r="35" spans="1:22" ht="16" x14ac:dyDescent="0.2">
      <c r="A35" s="9" t="s">
        <v>114</v>
      </c>
      <c r="B35" s="9" t="s">
        <v>121</v>
      </c>
      <c r="C35" s="25" t="s">
        <v>182</v>
      </c>
      <c r="D35" s="9" t="s">
        <v>134</v>
      </c>
      <c r="O35" s="9">
        <f t="shared" si="1"/>
        <v>0</v>
      </c>
    </row>
    <row r="36" spans="1:22" ht="16" x14ac:dyDescent="0.2">
      <c r="A36" s="9" t="s">
        <v>114</v>
      </c>
      <c r="B36" s="9" t="s">
        <v>123</v>
      </c>
      <c r="C36" s="25" t="s">
        <v>123</v>
      </c>
      <c r="D36" s="9" t="s">
        <v>136</v>
      </c>
      <c r="E36" s="23" t="s">
        <v>143</v>
      </c>
      <c r="O36" s="9">
        <f t="shared" si="1"/>
        <v>0</v>
      </c>
    </row>
    <row r="37" spans="1:22" ht="16" x14ac:dyDescent="0.2">
      <c r="A37" s="9" t="s">
        <v>114</v>
      </c>
      <c r="B37" s="9" t="s">
        <v>145</v>
      </c>
      <c r="C37" s="25" t="s">
        <v>183</v>
      </c>
      <c r="D37" s="9" t="s">
        <v>146</v>
      </c>
      <c r="E37" s="9" t="s">
        <v>144</v>
      </c>
      <c r="O37" s="9">
        <f t="shared" si="1"/>
        <v>0</v>
      </c>
    </row>
    <row r="38" spans="1:22" ht="16" x14ac:dyDescent="0.2">
      <c r="A38" s="9" t="s">
        <v>114</v>
      </c>
      <c r="B38" s="9" t="s">
        <v>137</v>
      </c>
      <c r="C38" s="25" t="s">
        <v>137</v>
      </c>
      <c r="D38" s="9" t="s">
        <v>140</v>
      </c>
      <c r="E38" s="23" t="s">
        <v>139</v>
      </c>
      <c r="O38" s="9">
        <f t="shared" si="1"/>
        <v>0</v>
      </c>
    </row>
    <row r="39" spans="1:22" ht="16" x14ac:dyDescent="0.2">
      <c r="A39" s="9" t="s">
        <v>114</v>
      </c>
      <c r="B39" s="9" t="s">
        <v>138</v>
      </c>
      <c r="C39" s="25" t="s">
        <v>138</v>
      </c>
      <c r="D39" s="9" t="s">
        <v>147</v>
      </c>
      <c r="E39" s="23" t="s">
        <v>148</v>
      </c>
      <c r="O39" s="9">
        <f t="shared" si="1"/>
        <v>0</v>
      </c>
    </row>
    <row r="40" spans="1:22" x14ac:dyDescent="0.2">
      <c r="A40" s="9" t="s">
        <v>114</v>
      </c>
      <c r="B40" s="9" t="s">
        <v>184</v>
      </c>
      <c r="C40" s="9" t="s">
        <v>184</v>
      </c>
      <c r="D40" s="9" t="s">
        <v>185</v>
      </c>
      <c r="O40" s="9">
        <f t="shared" si="1"/>
        <v>0</v>
      </c>
    </row>
    <row r="41" spans="1:22" x14ac:dyDescent="0.2">
      <c r="A41" s="9" t="s">
        <v>114</v>
      </c>
      <c r="B41" s="9" t="s">
        <v>186</v>
      </c>
      <c r="C41" s="9" t="s">
        <v>186</v>
      </c>
      <c r="D41" s="9" t="s">
        <v>187</v>
      </c>
      <c r="E41" s="9" t="s">
        <v>188</v>
      </c>
      <c r="O41" s="9">
        <f t="shared" si="1"/>
        <v>0</v>
      </c>
    </row>
    <row r="42" spans="1:22" x14ac:dyDescent="0.2">
      <c r="A42" s="9" t="s">
        <v>114</v>
      </c>
      <c r="B42" s="9" t="s">
        <v>189</v>
      </c>
      <c r="C42" s="9" t="s">
        <v>189</v>
      </c>
      <c r="D42" s="9" t="s">
        <v>191</v>
      </c>
      <c r="E42" s="9" t="s">
        <v>190</v>
      </c>
      <c r="O42" s="9">
        <f t="shared" si="1"/>
        <v>0</v>
      </c>
    </row>
    <row r="43" spans="1:22" x14ac:dyDescent="0.2">
      <c r="A43" s="9" t="s">
        <v>98</v>
      </c>
      <c r="B43" s="26" t="s">
        <v>193</v>
      </c>
      <c r="C43" s="26" t="s">
        <v>193</v>
      </c>
      <c r="H43" s="9" t="s">
        <v>211</v>
      </c>
      <c r="I43" s="13">
        <v>6000</v>
      </c>
      <c r="J43" s="13">
        <v>6000</v>
      </c>
      <c r="M43" s="11">
        <v>45566</v>
      </c>
      <c r="N43" s="11">
        <v>46296</v>
      </c>
      <c r="O43" s="9">
        <f t="shared" si="1"/>
        <v>24</v>
      </c>
      <c r="Q43" s="9" t="s">
        <v>76</v>
      </c>
      <c r="S43" s="9" t="s">
        <v>62</v>
      </c>
      <c r="T43" s="9" t="s">
        <v>83</v>
      </c>
      <c r="U43" s="9" t="s">
        <v>60</v>
      </c>
      <c r="V43" s="9" t="s">
        <v>194</v>
      </c>
    </row>
    <row r="44" spans="1:22" ht="16" x14ac:dyDescent="0.2">
      <c r="A44" s="9" t="s">
        <v>210</v>
      </c>
      <c r="B44" s="25" t="s">
        <v>196</v>
      </c>
      <c r="C44" s="25" t="s">
        <v>197</v>
      </c>
      <c r="H44" s="25" t="s">
        <v>207</v>
      </c>
      <c r="L44" s="25" t="s">
        <v>214</v>
      </c>
    </row>
    <row r="45" spans="1:22" ht="16" x14ac:dyDescent="0.2">
      <c r="A45" s="9" t="s">
        <v>210</v>
      </c>
      <c r="B45" s="25" t="s">
        <v>198</v>
      </c>
      <c r="C45" s="25" t="s">
        <v>199</v>
      </c>
      <c r="H45" s="25" t="s">
        <v>200</v>
      </c>
      <c r="L45" s="25" t="s">
        <v>215</v>
      </c>
    </row>
    <row r="46" spans="1:22" ht="16" x14ac:dyDescent="0.2">
      <c r="A46" s="9" t="s">
        <v>210</v>
      </c>
      <c r="B46" s="25" t="s">
        <v>201</v>
      </c>
      <c r="C46" s="25" t="s">
        <v>212</v>
      </c>
      <c r="H46" s="25" t="s">
        <v>203</v>
      </c>
      <c r="L46" s="25" t="s">
        <v>202</v>
      </c>
    </row>
    <row r="47" spans="1:22" ht="16" x14ac:dyDescent="0.2">
      <c r="A47" s="9" t="s">
        <v>210</v>
      </c>
      <c r="B47" s="25" t="s">
        <v>204</v>
      </c>
      <c r="C47" s="25" t="s">
        <v>209</v>
      </c>
      <c r="H47" s="25" t="s">
        <v>208</v>
      </c>
      <c r="L47" s="25">
        <v>2021</v>
      </c>
      <c r="M47" s="6"/>
    </row>
    <row r="48" spans="1:22" ht="16" x14ac:dyDescent="0.2">
      <c r="A48" s="9" t="s">
        <v>210</v>
      </c>
      <c r="B48" s="25" t="s">
        <v>205</v>
      </c>
      <c r="C48" s="25" t="s">
        <v>213</v>
      </c>
      <c r="H48" s="25" t="s">
        <v>206</v>
      </c>
      <c r="L48" s="25" t="s">
        <v>216</v>
      </c>
      <c r="M48" s="6"/>
    </row>
    <row r="49" spans="1:22" ht="91" x14ac:dyDescent="0.2">
      <c r="A49" s="9" t="s">
        <v>97</v>
      </c>
      <c r="B49" s="9" t="s">
        <v>217</v>
      </c>
      <c r="C49" s="25" t="s">
        <v>217</v>
      </c>
      <c r="F49" s="9">
        <v>101299050</v>
      </c>
      <c r="H49" s="24" t="s">
        <v>66</v>
      </c>
      <c r="I49" s="13">
        <v>312500</v>
      </c>
      <c r="J49" s="13">
        <v>312500</v>
      </c>
      <c r="K49" s="17" t="s">
        <v>218</v>
      </c>
      <c r="L49" s="17" t="s">
        <v>219</v>
      </c>
      <c r="M49" s="11">
        <v>46143</v>
      </c>
      <c r="N49" s="11">
        <v>47238</v>
      </c>
      <c r="O49" s="9">
        <f t="shared" ref="O49" si="2">DATEDIF(M49,N49+1, "M")</f>
        <v>36</v>
      </c>
      <c r="Q49" s="9" t="s">
        <v>75</v>
      </c>
      <c r="S49" s="9" t="s">
        <v>62</v>
      </c>
      <c r="T49" s="9" t="s">
        <v>83</v>
      </c>
      <c r="U49" s="9" t="s">
        <v>60</v>
      </c>
      <c r="V49" s="16" t="s">
        <v>220</v>
      </c>
    </row>
    <row r="50" spans="1:22" x14ac:dyDescent="0.2">
      <c r="C50" s="6"/>
    </row>
    <row r="51" spans="1:22" x14ac:dyDescent="0.2">
      <c r="C51" s="6"/>
    </row>
    <row r="52" spans="1:22" x14ac:dyDescent="0.2">
      <c r="C52" s="6"/>
    </row>
    <row r="53" spans="1:22" x14ac:dyDescent="0.2">
      <c r="C53" s="6"/>
    </row>
    <row r="54" spans="1:22" x14ac:dyDescent="0.2">
      <c r="C54" s="6"/>
    </row>
    <row r="55" spans="1:22" x14ac:dyDescent="0.2">
      <c r="C55" s="6"/>
    </row>
  </sheetData>
  <hyperlinks>
    <hyperlink ref="E25" r:id="rId1" xr:uid="{13917B60-8131-134B-9BC7-6151AE314CF6}"/>
    <hyperlink ref="E28" r:id="rId2" xr:uid="{289FEECE-9F90-6348-AF8F-60A8DFBFFFD0}"/>
    <hyperlink ref="E38" r:id="rId3" xr:uid="{6E1E50B8-8EA3-E94F-ACBE-303DD3B4AE35}"/>
    <hyperlink ref="E30" r:id="rId4" xr:uid="{48A537FE-210D-4E49-8ADD-F7B11FB35C8E}"/>
    <hyperlink ref="E31" r:id="rId5" xr:uid="{F392E7FA-3AC9-4740-9173-F7E328B54549}"/>
    <hyperlink ref="E36" r:id="rId6" xr:uid="{1C59A192-B91B-BA4E-870E-5CF0E4A2B84B}"/>
    <hyperlink ref="E39" r:id="rId7" xr:uid="{101FB994-43AF-FB43-853C-66CC65A113BF}"/>
    <hyperlink ref="E32" r:id="rId8" xr:uid="{6736192C-EE34-C143-96F4-4BC022EAC079}"/>
    <hyperlink ref="E29" r:id="rId9" xr:uid="{D94725B2-C086-D543-ABD9-B51D4F151A2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CONDE DIAZ</dc:creator>
  <cp:lastModifiedBy>JAVIER CONDE DIAZ</cp:lastModifiedBy>
  <dcterms:created xsi:type="dcterms:W3CDTF">2026-04-02T20:26:45Z</dcterms:created>
  <dcterms:modified xsi:type="dcterms:W3CDTF">2026-05-02T10:15:32Z</dcterms:modified>
</cp:coreProperties>
</file>