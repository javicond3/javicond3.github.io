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javier/Library/CloudStorage/OneDrive-UniversidadPolitécnicadeMadrid/Universidad/Proyectos/Proyectos Generales/"/>
    </mc:Choice>
  </mc:AlternateContent>
  <xr:revisionPtr revIDLastSave="0" documentId="13_ncr:1_{AC67A94F-E8C6-2E49-9EFD-49DAEDC36D7C}" xr6:coauthVersionLast="47" xr6:coauthVersionMax="47" xr10:uidLastSave="{00000000-0000-0000-0000-000000000000}"/>
  <bookViews>
    <workbookView xWindow="5180" yWindow="1880" windowWidth="28040" windowHeight="17180" xr2:uid="{5A3D5E87-EF9F-7844-AC90-6C96990D2B09}"/>
  </bookViews>
  <sheets>
    <sheet name="Hoja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54" i="1" l="1"/>
  <c r="O53" i="1"/>
  <c r="O52" i="1"/>
  <c r="O51" i="1"/>
  <c r="O50"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<sst xmlns="http://schemas.openxmlformats.org/spreadsheetml/2006/main" count="436" uniqueCount="250">
  <si>
    <t>Tipo</t>
  </si>
  <si>
    <t>Título proyecto original</t>
  </si>
  <si>
    <t>Título proyecto</t>
  </si>
  <si>
    <t>Description</t>
  </si>
  <si>
    <t>Link</t>
  </si>
  <si>
    <t xml:space="preserve">Referencia </t>
  </si>
  <si>
    <t xml:space="preserve">Referencia OTT: </t>
  </si>
  <si>
    <t>ENTIDAD FINANCIADORA</t>
  </si>
  <si>
    <t>Asignación a la UPM</t>
  </si>
  <si>
    <t>Asignación concedida total  grupo GING UPM</t>
  </si>
  <si>
    <t xml:space="preserve">  ENTIDADES PARTICIPANTES</t>
  </si>
  <si>
    <t>Año</t>
  </si>
  <si>
    <t>Duración (inicio)</t>
  </si>
  <si>
    <t>Duración (fin)</t>
  </si>
  <si>
    <t>Duración (meses)</t>
  </si>
  <si>
    <t xml:space="preserve"> FECHA DEL TRASPASO DE TITULARIDAD</t>
  </si>
  <si>
    <t>Alcance</t>
  </si>
  <si>
    <t>ID portal científico</t>
  </si>
  <si>
    <t>IP-YO</t>
  </si>
  <si>
    <t>IP</t>
  </si>
  <si>
    <t>Con Certificado YO</t>
  </si>
  <si>
    <t>Convocatoria</t>
  </si>
  <si>
    <t>Comentario</t>
  </si>
  <si>
    <t>Competitive</t>
  </si>
  <si>
    <t>Scalable and Quantum Resilient Heterogeneous Edge Computing enabling Trustworthy AI (SMARTY)</t>
  </si>
  <si>
    <t>https://www.smarty-project.eu/</t>
  </si>
  <si>
    <t>European Commssion (CJU) and Spanish Research Agency</t>
  </si>
  <si>
    <t>Más de 30</t>
  </si>
  <si>
    <t>European</t>
  </si>
  <si>
    <t>Yes</t>
  </si>
  <si>
    <t>Pedro Reviriego y Javier Conde</t>
  </si>
  <si>
    <t>HORIZON-KDT-JU-2023-1-IA
Focus Topic 3: Focus topic on Integration of trustworthy Edge AI
technologies in complex heterogeneous components and systems
(IA)</t>
  </si>
  <si>
    <t>Private</t>
  </si>
  <si>
    <t>SmarTerp and Me – Activa</t>
  </si>
  <si>
    <t>CPI.AAG.004</t>
  </si>
  <si>
    <t>Kunveno Teknologos, S.L.</t>
  </si>
  <si>
    <t>Universidad Politécnica de Madrid</t>
  </si>
  <si>
    <t>National</t>
  </si>
  <si>
    <t>No</t>
  </si>
  <si>
    <t>Álvaro Alonso</t>
  </si>
  <si>
    <t>AVIC - DAO</t>
  </si>
  <si>
    <t>CPI.AAG.005</t>
  </si>
  <si>
    <t>Eidolon Servicios Lingüísticos, S.L</t>
  </si>
  <si>
    <t>Contratos Inteligentes sistema de interpretación</t>
  </si>
  <si>
    <t>Soluciones para la soberanía, confianza y seguridad en los
espacios de datos (EUNOMIA)</t>
  </si>
  <si>
    <t>Solutions for Sovereignty, Trust, and Security in Data Spaces (EUNOMIA)</t>
  </si>
  <si>
    <t>https://eunomia.dit.upm.es/</t>
  </si>
  <si>
    <t>Spanish Government</t>
  </si>
  <si>
    <t>No introducido</t>
  </si>
  <si>
    <t>Joaquín Salvachúa</t>
  </si>
  <si>
    <t>Redes del Futuro para Centros de Procesado de Datos y Operadores (Fun4date)</t>
  </si>
  <si>
    <t>Future Networks for Data Centers and Operators (Fun4date)</t>
  </si>
  <si>
    <t>https://fun4date.github.io/</t>
  </si>
  <si>
    <t>PID2022-136684OB-C22</t>
  </si>
  <si>
    <t>C2309520104</t>
  </si>
  <si>
    <t>Ministry of Science and Innovation. Spanish Government</t>
  </si>
  <si>
    <t>UPM. E.T.S. DE INGENIEROS DE TELECOMUNICACION (School)
UPM. ESCUELA TECNICA SUPERIOR DE INGENIEROS DE TELECOMUNICACION (Others)
UPM. INGENIERÍA DE SISTEMAS TELEMÁTICOS (University Department)
UPM. Internet de Nueva Generación (Grupo de investigacion)
UPM. E.T.S. DE INGENIEROS DE TELECOMUNICACION (School)
UPM. ESCUELA TECNICA SUPERIOR DE INGENIEROS DE TELECOMUNICACION (Others)
UPM. Escuela InterNational de Doctorado, EID (Others)
UPM. INGENIERÍA DE SISTEMAS TELEMÁTICOS (University Department)
UPM. SISTEMAS INFORMÁTICOS (University Department)
UPM. CENTRO I+D+I PROC. INFORMACIÓN Y TELECOM (Institute or University Research Center)</t>
  </si>
  <si>
    <t>10102649
Las fechas mal</t>
  </si>
  <si>
    <t>Pedro Reviriego y Enrique Barra</t>
  </si>
  <si>
    <t>Generación de Conocimiento</t>
  </si>
  <si>
    <t>Investigación en Redes NTN de nueva generación</t>
  </si>
  <si>
    <t>Research on Next-Generation Non-Terrestrial Networks (NTN)</t>
  </si>
  <si>
    <t>CPI.PRV.001</t>
  </si>
  <si>
    <t>Universidad Carlos III de Madrid</t>
  </si>
  <si>
    <t>Universidad Politécnica de Madrid, Universidad Carlos III de Madrid</t>
  </si>
  <si>
    <t>Pedro Reviriego</t>
  </si>
  <si>
    <t>Plataforma Integral de Control y Operación de  Alumbrado y Galerías - Fase 1-3 (PLICOGA)</t>
  </si>
  <si>
    <t>Comprehensive Platform for Lighting and Tunnel Control and Operation – Phase 1-3 (PLICOGA)</t>
  </si>
  <si>
    <t>CPI.AAG.002 INTELIA</t>
  </si>
  <si>
    <t>Systemas de Redes Intelia S-L.</t>
  </si>
  <si>
    <t>Universidad Politécnica de Madrid, Intelia S.L.</t>
  </si>
  <si>
    <t>CoConApp: Aplicación de control de configuración</t>
  </si>
  <si>
    <t>CoConApp: Configuration Control Application</t>
  </si>
  <si>
    <t>CPI.AGM.001</t>
  </si>
  <si>
    <t>Tecnatom S.A.</t>
  </si>
  <si>
    <t>Universidad Politécnica de Madrid, Tecnatom S.A.</t>
  </si>
  <si>
    <t>Pedro Reviriego y Aldo Gordillo</t>
  </si>
  <si>
    <t>Desarrollo de una plataforma digital para la gestión remota de los datos de pacientes con trastornos del movimiento (NETremor-DATA)</t>
  </si>
  <si>
    <t>Development of a Digital Platform for Remote Data Management of Patients with Movement Disorders (NETremor-DATA)</t>
  </si>
  <si>
    <t>TED 2021-130174B-C32</t>
  </si>
  <si>
    <t>C2209560216</t>
  </si>
  <si>
    <t>Spanish Research Agency</t>
  </si>
  <si>
    <t xml:space="preserve">
Universidad Politecnica de Madrid Agencia Estatal Consejo Superior de Investigaciones Cientificas (Csic), Fundación para la Investigación Biomédica del Hospital Univ. Doce De Octubre</t>
  </si>
  <si>
    <t>Álvaro Gutierrez y Gabriel Huecas</t>
  </si>
  <si>
    <t>Convocatoria 2021 - «Proyectos de Transición Ecológica y Transición Digital». Coordinado. IP del nuevo proyecto (Álvaro Gutiérrez) y también GH. Ministerio de Ciencia e Innovación (MICINN)</t>
  </si>
  <si>
    <t>Aula Virtual para la Interpretación de Conferencias (AVIC)</t>
  </si>
  <si>
    <t>Virtual Classroom for Conference Interpreting (AVIC)</t>
  </si>
  <si>
    <t>CPI.AAG.001</t>
  </si>
  <si>
    <t>Eidolon Servicios Lingüísticos, S.L.</t>
  </si>
  <si>
    <t>Universidad Politécnica de Madrid, EIDOLON Servicios Lingüísticos,
S.L.</t>
  </si>
  <si>
    <t>Plataforma Unificada de Formación</t>
  </si>
  <si>
    <t>Unified Training Platform</t>
  </si>
  <si>
    <t>CPI.JQV.004 Plataforma Unificada</t>
  </si>
  <si>
    <t>Orange Foundation</t>
  </si>
  <si>
    <t>Universidad Politécnica de Madrid, Orange Espagne, S.L.</t>
  </si>
  <si>
    <t>Low Emission MONitoring Zone (LEMON-Zone)</t>
  </si>
  <si>
    <t>European Institute of Innovation and Technology (EIT)</t>
  </si>
  <si>
    <t>Universidad Politécnica de Madrid, KTH, Ci3, Ferrovial,
Gellify Iberia, Ayuntamiento de Guadalajara.</t>
  </si>
  <si>
    <t>Juan Quemada y Álvaro Alonso</t>
  </si>
  <si>
    <t>EIT Digital</t>
  </si>
  <si>
    <t>Your Open DAta (YODA)</t>
  </si>
  <si>
    <t>https://yoda.dit.upm.es/</t>
  </si>
  <si>
    <t>INEA/CEF/ICT/A2019/2063176</t>
  </si>
  <si>
    <t>European Commission</t>
  </si>
  <si>
    <t>Universidad Politécnica de Madrid, Universidad de Cantabria,
ECIX Group, Mobiliario Smart Anadalucía SL</t>
  </si>
  <si>
    <t>CEF Telecom</t>
  </si>
  <si>
    <t>Educational Data Virtual Lab (EDVL4Pandemics)</t>
  </si>
  <si>
    <t>REACT-MadridDataSpace4Pandemics-23469</t>
  </si>
  <si>
    <t>REACT210024193H</t>
  </si>
  <si>
    <t>Community of Madrid (Regional Government)</t>
  </si>
  <si>
    <t>Regional</t>
  </si>
  <si>
    <t>Madrid</t>
  </si>
  <si>
    <t>Arportwin AR/VR for digital twins in airports and other infrastructures using FIWARE platform (A-RPORTWIN)</t>
  </si>
  <si>
    <t>KTH, Ci3, AGS, Universidad Politécnica de Madrid</t>
  </si>
  <si>
    <t>Espacio de Datos de Cambio Climático en Infraestructuras de Transporte (EDACCIT)</t>
  </si>
  <si>
    <t>Climate Change Data Space in Transport Infrastructure (EDACCIT)</t>
  </si>
  <si>
    <t>Ministry for Digital Transformation and the Civil Service. Spanish Government</t>
  </si>
  <si>
    <t>Escaping New Disinformation through GAmified cross-border Media literacy Education (EndGame)</t>
  </si>
  <si>
    <t>https://endgameproject.github.io/</t>
  </si>
  <si>
    <t>Enrique Barra</t>
  </si>
  <si>
    <t>MIT Seed Fund: Beyond Humans in Psycholinguistics: theArtificial Intelligence Era</t>
  </si>
  <si>
    <t>MIT Seed Fund: Beyond Humans in Psycholinguistics: the Artificial Intelligence Era</t>
  </si>
  <si>
    <t>MIT and UPM (Joint Research Program)</t>
  </si>
  <si>
    <t>International</t>
  </si>
  <si>
    <t>MIT Seed Fund</t>
  </si>
  <si>
    <t>Tecnologías para la detección y comunicación en redes 6G (TUCAN6-CM)</t>
  </si>
  <si>
    <t>Technologies for Detection and Communication in 6G Networks (TUCAN6-CM)</t>
  </si>
  <si>
    <t>https://tucan6-cm.networks.imdea.org/</t>
  </si>
  <si>
    <t>Implementation of Game-Based Learning Using Escape Rooms (Iglue)</t>
  </si>
  <si>
    <t>https://iglue.dit.upm.es/</t>
  </si>
  <si>
    <t>European Commission (Erasmus+)</t>
  </si>
  <si>
    <t>Aldo Gordillo</t>
  </si>
  <si>
    <t>Erasmus +</t>
  </si>
  <si>
    <t>Asistente educativo personalizado basado en Grandes Modelos de Lenguaje (CyberTutor)</t>
  </si>
  <si>
    <t>Personalized Educational Assistant based on Large Language Models (CyberTutor)</t>
  </si>
  <si>
    <t>Javier Conde</t>
  </si>
  <si>
    <t>Programa Propio ETSIT</t>
  </si>
  <si>
    <t>Inteligencia Artificial para AVIC</t>
  </si>
  <si>
    <t>Artificial Intelligence for AVIC</t>
  </si>
  <si>
    <t>Eidolon Servicios Lingüísticos, S.L.</t>
  </si>
  <si>
    <t>Chair ARANGO-ETSIT-UPM</t>
  </si>
  <si>
    <t>ARANGO-ETSIT-UPM Chair</t>
  </si>
  <si>
    <t>Arango</t>
  </si>
  <si>
    <t>Sostenibilidad Generativa: Hacia un Uso Responsable de la IA</t>
  </si>
  <si>
    <t>Generative Sustainability: Towards a Responsible Use of AI</t>
  </si>
  <si>
    <t>https://sostenibilidadgenerativa.cotec.es/</t>
  </si>
  <si>
    <t>Cotec Foundation</t>
  </si>
  <si>
    <t>PIA Cotec</t>
  </si>
  <si>
    <t>Optimización del tráfico urbano mediante sistemas complejos (Cliotedge)</t>
  </si>
  <si>
    <t>Urban Traffic Optimization through Complex Systems (Cliotedge)</t>
  </si>
  <si>
    <t>Ci3 Foundation</t>
  </si>
  <si>
    <t>Software</t>
  </si>
  <si>
    <t>AIQuiz</t>
  </si>
  <si>
    <t>Web-based quiz application that uses AI to generate and run interactive quizzes.
It integrates with UPM and adapts to each student’s needs by personalizing the learning experience based on their progress and level.</t>
  </si>
  <si>
    <t>https://github.com/CyberAula/aiquiz</t>
  </si>
  <si>
    <t>CKAN Extension for DCAT-AP and OAI-PMH</t>
  </si>
  <si>
    <t>Extension for enabling DCAT-AP metadata, supporting harvesting workflows integrated with data.europa.eu. It includes an extension to implement an OAI-PMH v2 server for exposing metadata via standard harvesting endpoints.</t>
  </si>
  <si>
    <t>https://github.com/YourOpenDAta/ckanext-dcatapedp</t>
  </si>
  <si>
    <t>AutoCOREctor</t>
  </si>
  <si>
    <t>Automatic grading tool for programming and web programming assignments used in courses at the Universidad Politécnica de Madrid.</t>
  </si>
  <si>
    <t>https://www.npmjs.com/package/autocorector</t>
  </si>
  <si>
    <t>Draco GE</t>
  </si>
  <si>
    <t>Official FIWARE Generic Enabler based on Apache NiFi for ETL flow processing, compatible with NGSI-LD and NGSIv2 data formats.</t>
  </si>
  <si>
    <t>https://github.com/ging/fiware-draco</t>
  </si>
  <si>
    <t>Cosmos GE</t>
  </si>
  <si>
    <t>Official FIWARE Generic Enabler for Big Data processing using the Apache Spark engine, compatible with NGSI-LD and NGSIv2.</t>
  </si>
  <si>
    <t>https://github.com/ging/fiware-cosmos</t>
  </si>
  <si>
    <t>Psycholinguistics Framework</t>
  </si>
  <si>
    <t>Framework for synthetic data generation in psycholinguistics experiments.</t>
  </si>
  <si>
    <t>https://github.com/WordsGPT/psycholinguistics_framework</t>
  </si>
  <si>
    <t>Progdoc</t>
  </si>
  <si>
    <t>Tool for academic management of study programs delivered at the School of Telecommunications Engineering of the Universidad Politécnica de Madrid since 2020.</t>
  </si>
  <si>
    <t>Gestión Trámites</t>
  </si>
  <si>
    <t>GestionTramites</t>
  </si>
  <si>
    <t>Tool for managing administrative procedures used at the School of Telecommunications Engineering of the Universidad Politécnica de Madrid since 2020.</t>
  </si>
  <si>
    <t>Mi Horario</t>
  </si>
  <si>
    <t>MiHorario</t>
  </si>
  <si>
    <t>Tool for managing schedules of professors and students at the School of Telecommunications Engineering of the Universidad Politécnica de Madrid, used from 2020 to 2025.</t>
  </si>
  <si>
    <t>YODA Open Data Portal</t>
  </si>
  <si>
    <t>YODA open data portal integrated with data.europa.eu, positioned as one of the best portals in terms of metadata quality.</t>
  </si>
  <si>
    <t>https://github.com/YourOpenDAta/ckan_yoda</t>
  </si>
  <si>
    <t>Python implementation of data.auropa.eu assesment tools</t>
  </si>
  <si>
    <t>Python implementation of data.europa.eu metadata quality assessment tool</t>
  </si>
  <si>
    <t>Python implementation of the data.europa.eu mqa-scoring assesment tool.</t>
  </si>
  <si>
    <t>https://github.com/YourOpenDAta/mqa-scoring</t>
  </si>
  <si>
    <t>AI Agents for Education</t>
  </si>
  <si>
    <t>Tool for creating AI agents that can be integrated into educational platforms, with adaptive role capabilities.</t>
  </si>
  <si>
    <t>https://github.com/CyberAula/CreadorAgentesIA</t>
  </si>
  <si>
    <t>La Leaderboard</t>
  </si>
  <si>
    <t>Open-Source LLM Leaderboard of Languages and Language Varieties of Ibero America: All the evaluation datasets have been originally created or manually translated into the corresponding languages.</t>
  </si>
  <si>
    <t>https://huggingface.co/spaces/la-leaderboard/la-leaderboard</t>
  </si>
  <si>
    <t>DirectorioPersonal</t>
  </si>
  <si>
    <t>Tool for managing contact information of the personnel at the School of Telecommunications Engineering of the Universidad Politécnica de Madrid, used from 2020 to 2024.</t>
  </si>
  <si>
    <t>Aeronautics Smart Data Models</t>
  </si>
  <si>
    <t>Data models for the European platform FIWARE in the Aeronautics domain compliant with NGSI-LD and NGSIv2</t>
  </si>
  <si>
    <t>https://github.com/smart-data-models/dataModel.Aeronautics/</t>
  </si>
  <si>
    <t>PoC of a TinyML with MLOPS for a Digital Twin with FIWARE</t>
  </si>
  <si>
    <t>Proof of Concept of TinyML with MLOps for a Digital Twin based on FIWARE, focused on the management of a smart barrier.</t>
  </si>
  <si>
    <t>https://github.com/ging/tinyML-MLOps-Fiware-Barrier</t>
  </si>
  <si>
    <t>OpenAI Research Access Program</t>
  </si>
  <si>
    <t>OpenAI</t>
  </si>
  <si>
    <t>Open AI Research Program</t>
  </si>
  <si>
    <t>Working Group</t>
  </si>
  <si>
    <t>Presidente del grupo local de Inteligencia Artificial</t>
  </si>
  <si>
    <t>Chair of the local Artificial Intelligence group</t>
  </si>
  <si>
    <t>IEEE (Spanish Section)</t>
  </si>
  <si>
    <t>2024 – Today</t>
  </si>
  <si>
    <t>Vocal del Patronato</t>
  </si>
  <si>
    <t>Member of the Board of Trustees</t>
  </si>
  <si>
    <t>Fundación Ángel Barbero Martin de Vidales</t>
  </si>
  <si>
    <t>2021-2022, 2025-Today.</t>
  </si>
  <si>
    <t>Participación en el Grupo de Trabajo de Intercambio de Conjuntos de Datos</t>
  </si>
  <si>
    <t>Member of Dataset Exchange Working Group (DCAT standard)</t>
  </si>
  <si>
    <t>W3C</t>
  </si>
  <si>
    <t>2023 - 2025</t>
  </si>
  <si>
    <t>Elaboración del informe ETSI GR CIM 017 sobre Gemelos Digitales</t>
  </si>
  <si>
    <t>Feasibility of NGSI-LD for Digital Twins</t>
  </si>
  <si>
    <t>ETSI</t>
  </si>
  <si>
    <t>Director de la cátedra ARANGO-ETSIT-UPM</t>
  </si>
  <si>
    <t>Director of the ARANGO-ETSIT-UPM Chair</t>
  </si>
  <si>
    <t>ETSIT-UPM</t>
  </si>
  <si>
    <t>205-2026</t>
  </si>
  <si>
    <t>Miembro del grupo de IA de FIWARE</t>
  </si>
  <si>
    <t>FIWARE AI Working Group</t>
  </si>
  <si>
    <t>FIWARE Foundation</t>
  </si>
  <si>
    <t>2023 - 2026</t>
  </si>
  <si>
    <t>Building ResIlient Development with GEnerative AI in Education &amp; Agriculture - BRIDGE-AI</t>
  </si>
  <si>
    <t>https://bridge-project.ai/</t>
  </si>
  <si>
    <t>Fundacio Eurecat, SeamWare, Austria Car, Unniversity of Sousse, Moome, AgroInfoTech, Jomo Kenyata University</t>
  </si>
  <si>
    <t>2026-2029</t>
  </si>
  <si>
    <t>HORIZON-CL4-2025-04 (GenAI4Africa)</t>
  </si>
  <si>
    <t>Ecostars Dataspace Fase 2</t>
  </si>
  <si>
    <t>Ecostars Dataspace Phase 2</t>
  </si>
  <si>
    <t>ECOSTARS ESG AI SL</t>
  </si>
  <si>
    <t>Alvaro Alonso</t>
  </si>
  <si>
    <t>Servicio de Configuración y Adaptación de la Plataforma YODA</t>
  </si>
  <si>
    <t>YODA Platform Configuration and Customization Service</t>
  </si>
  <si>
    <t>Ingeniería y Economía del Transporte, S.M.E., M.P., S.A</t>
  </si>
  <si>
    <t>INECO</t>
  </si>
  <si>
    <t>DEPLOYTOUR</t>
  </si>
  <si>
    <t>DEPLOYTOUR is a project co-funded under the EU Digital Europe Programme, supported by DG GROW and DG CONNECT. It is a strategic initiative to boost the competitiveness, sustainability, and resilience of the tourism sector by deploying a trusted Common European Tourism Data Space (ETDS).</t>
  </si>
  <si>
    <t>https://deploytour.eu/the-project/</t>
  </si>
  <si>
    <t>2026-2027</t>
  </si>
  <si>
    <t>EU Digital Europe Programme</t>
  </si>
  <si>
    <t>Agentes para Redes y Redes para Agentes (ANNA)</t>
  </si>
  <si>
    <t>Agents for Networks and Networks for agents (ANNA)</t>
  </si>
  <si>
    <t>UC3M, UPM</t>
  </si>
  <si>
    <t>Pedro Reviriego y Andrés Muñoz</t>
  </si>
  <si>
    <t>Budget + 1 FPI</t>
  </si>
  <si>
    <t>2020/05/22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</si>
</sst>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dd/mm/yy"/>
    <numFmt numFmtId="166" formatCode="&quot;BOOL&quot;e&quot;AN&quot;"/>
  </numFmts>
  <fonts count="15" x14ac:knownFonts="1">
    <font>
      <sz val="12"/>
      <color theme="1"/>
      <name val="Aptos Narrow"/>
      <family val="2"/>
      <scheme val="minor"/>
    </font>
    <font>
      <sz val="12"/>
      <color theme="1"/>
      <name val="Aptos Narrow"/>
      <family val="2"/>
      <scheme val="minor"/>
    </font>
    <font>
      <sz val="11"/>
      <color rgb="FF000000"/>
      <name val="Calibri"/>
      <family val="2"/>
      <charset val="1"/>
    </font>
    <font>
      <b/>
      <sz val="11"/>
      <color theme="0"/>
      <name val="Calibri"/>
      <family val="2"/>
      <charset val="1"/>
    </font>
    <font>
      <b/>
      <sz val="11"/>
      <color theme="0"/>
      <name val="Times New Roman"/>
      <family val="1"/>
      <charset val="1"/>
    </font>
    <font>
      <sz val="10"/>
      <name val="Arial"/>
      <family val="2"/>
      <charset val="1"/>
    </font>
    <font>
      <b/>
      <sz val="11"/>
      <color theme="0"/>
      <name val="Arial"/>
      <family val="2"/>
      <charset val="1"/>
    </font>
    <font>
      <sz val="11"/>
      <name val="Aptos Narrow"/>
      <family val="2"/>
      <scheme val="minor"/>
    </font>
    <font>
      <sz val="12"/>
      <color rgb="FF1F1F1F"/>
      <name val="Arial"/>
      <family val="2"/>
    </font>
    <font>
      <u/>
      <sz val="12"/>
      <color theme="10"/>
      <name val="Aptos Narrow"/>
      <family val="2"/>
      <scheme val="minor"/>
    </font>
    <font>
      <sz val="11"/>
      <name val="Arial"/>
      <family val="2"/>
      <charset val="1"/>
    </font>
    <font>
      <sz val="10"/>
      <color theme="1"/>
      <name val="Arial"/>
      <family val="2"/>
    </font>
    <font>
      <sz val="11"/>
      <name val="Times New Roman"/>
      <family val="1"/>
      <charset val="1"/>
    </font>
    <font>
      <sz val="11"/>
      <name val="Times New Roman"/>
      <family val="1"/>
    </font>
    <font>
      <sz val="9"/>
      <color theme="1"/>
      <name val="Times New Roman"/>
      <family val="1"/>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5">
    <xf numFmtId="0" fontId="0" fillId="0" borderId="0"/>
    <xf numFmtId="164" fontId="1" fillId="0" borderId="0" applyFont="0" applyFill="0" applyBorder="0" applyAlignment="0" applyProtection="0"/>
    <xf numFmtId="0" fontId="2" fillId="0" borderId="0"/>
    <xf numFmtId="0" fontId="5" fillId="0" borderId="0"/>
    <xf numFmtId="0" fontId="9" fillId="0" borderId="0" applyNumberFormat="0" applyFill="0" applyBorder="0" applyAlignment="0" applyProtection="0"/>
  </cellStyleXfs>
  <cellXfs count="29">
    <xf numFmtId="0" fontId="0" fillId="0" borderId="0" xfId="0"/>
    <xf numFmtId="0" fontId="3" fillId="2" borderId="0" xfId="2" applyFont="1" applyFill="1" applyAlignment="1">
      <alignment horizontal="center" vertical="center" wrapText="1"/>
    </xf>
    <xf numFmtId="164" fontId="3" fillId="2" borderId="0" xfId="1" applyFont="1" applyFill="1" applyBorder="1" applyAlignment="1">
      <alignment horizontal="center" vertical="center" wrapText="1"/>
    </xf>
    <xf numFmtId="0" fontId="4" fillId="2" borderId="0" xfId="0" applyFont="1" applyFill="1" applyAlignment="1">
      <alignment vertical="center"/>
    </xf>
    <xf numFmtId="165" fontId="3" fillId="2" borderId="0" xfId="2" applyNumberFormat="1" applyFont="1" applyFill="1" applyAlignment="1">
      <alignment horizontal="center" vertical="center" wrapText="1"/>
    </xf>
    <xf numFmtId="0" fontId="6" fillId="2" borderId="0" xfId="3" applyFont="1" applyFill="1"/>
    <xf numFmtId="0" fontId="7" fillId="0" borderId="0" xfId="0" applyFont="1"/>
    <xf numFmtId="0" fontId="8" fillId="0" borderId="0" xfId="0" applyFont="1"/>
    <xf numFmtId="0" fontId="9" fillId="0" borderId="0" xfId="4"/>
    <xf numFmtId="164" fontId="7" fillId="0" borderId="0" xfId="1" applyFont="1" applyBorder="1"/>
    <xf numFmtId="14" fontId="7" fillId="0" borderId="0" xfId="0" applyNumberFormat="1" applyFont="1"/>
    <xf numFmtId="0" fontId="10" fillId="0" borderId="0" xfId="3" applyFont="1" applyAlignment="1">
      <alignment horizontal="left"/>
    </xf>
    <xf numFmtId="0" fontId="7" fillId="0" borderId="0" xfId="0" applyFont="1" applyAlignment="1">
      <alignment wrapText="1"/>
    </xf>
    <xf numFmtId="165" fontId="10" fillId="0" borderId="0" xfId="3" applyNumberFormat="1" applyFont="1" applyAlignment="1">
      <alignment horizontal="left"/>
    </xf>
    <xf numFmtId="0" fontId="9" fillId="0" borderId="0" xfId="4" applyAlignment="1">
      <alignment wrapText="1"/>
    </xf>
    <xf numFmtId="0" fontId="10" fillId="0" borderId="0" xfId="0" applyFont="1"/>
    <xf numFmtId="0" fontId="11" fillId="0" borderId="0" xfId="0" applyFont="1"/>
    <xf numFmtId="164" fontId="10" fillId="0" borderId="0" xfId="1" applyFont="1" applyBorder="1" applyAlignment="1">
      <alignment horizontal="left"/>
    </xf>
    <xf numFmtId="0" fontId="12" fillId="0" borderId="0" xfId="0" applyFont="1" applyAlignment="1">
      <alignment horizontal="left" vertical="center"/>
    </xf>
    <xf numFmtId="165" fontId="7" fillId="0" borderId="0" xfId="0" applyNumberFormat="1" applyFont="1" applyAlignment="1">
      <alignment horizontal="left"/>
    </xf>
    <xf numFmtId="0" fontId="7" fillId="0" borderId="0" xfId="0" applyFont="1" applyAlignment="1">
      <alignment horizontal="left"/>
    </xf>
    <xf numFmtId="2" fontId="10" fillId="0" borderId="0" xfId="3" applyNumberFormat="1" applyFont="1" applyAlignment="1">
      <alignment horizontal="left" wrapText="1"/>
    </xf>
    <xf numFmtId="0" fontId="10" fillId="0" borderId="0" xfId="3" applyFont="1" applyAlignment="1">
      <alignment horizontal="left" wrapText="1"/>
    </xf>
    <xf numFmtId="0" fontId="13" fillId="0" borderId="0" xfId="0" applyFont="1" applyAlignment="1">
      <alignment vertical="center" wrapText="1"/>
    </xf>
    <xf numFmtId="166" fontId="10" fillId="0" borderId="0" xfId="3" applyNumberFormat="1" applyFont="1" applyAlignment="1">
      <alignment horizontal="left"/>
    </xf>
    <xf numFmtId="0" fontId="9" fillId="0" borderId="0" xfId="4" applyAlignment="1">
      <alignment horizontal="left"/>
    </xf>
    <xf numFmtId="164" fontId="13" fillId="0" borderId="0" xfId="1" applyFont="1" applyBorder="1"/>
    <xf numFmtId="0" fontId="13" fillId="0" borderId="0" xfId="0" applyFont="1"/>
    <xf numFmtId="0" fontId="14" fillId="0" borderId="0" xfId="0" applyFont="1" applyAlignment="1">
      <alignment vertical="center"/>
    </xf>
  </cellXfs>
  <cellStyles count="5">
    <cellStyle name="Hipervínculo" xfId="4" builtinId="8"/>
    <cellStyle name="Moneda" xfId="1" builtinId="4"/>
    <cellStyle name="Normal" xfId="0" builtinId="0"/>
    <cellStyle name="Normal 10" xfId="3" xr:uid="{332CAA44-709A-4B43-8460-5C4387BDF92C}"/>
    <cellStyle name="Normal 30 3 2 2" xfId="2" xr:uid="{3422C9B8-8AD7-9A41-B1FC-2BC0E03091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6DAE9C0-DF6F-EE43-8F06-B9F0793770DD}">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github.com/WordsGPT/psycholinguistics_framework" TargetMode="External"/><Relationship Id="rId13" Type="http://schemas.openxmlformats.org/officeDocument/2006/relationships/hyperlink" Target="https://www.smarty-project.eu/" TargetMode="External"/><Relationship Id="rId18" Type="http://schemas.openxmlformats.org/officeDocument/2006/relationships/hyperlink" Target="https://iglue.dit.upm.es/" TargetMode="External"/><Relationship Id="rId3" Type="http://schemas.openxmlformats.org/officeDocument/2006/relationships/hyperlink" Target="https://github.com/CyberAula/CreadorAgentesIA" TargetMode="External"/><Relationship Id="rId7" Type="http://schemas.openxmlformats.org/officeDocument/2006/relationships/hyperlink" Target="https://huggingface.co/spaces/la-leaderboard/la-leaderboard" TargetMode="External"/><Relationship Id="rId12" Type="http://schemas.openxmlformats.org/officeDocument/2006/relationships/hyperlink" Target="https://bridge-project.ai/" TargetMode="External"/><Relationship Id="rId17" Type="http://schemas.openxmlformats.org/officeDocument/2006/relationships/hyperlink" Target="https://tucan6-cm.networks.imdea.org/" TargetMode="External"/><Relationship Id="rId2" Type="http://schemas.openxmlformats.org/officeDocument/2006/relationships/hyperlink" Target="https://github.com/YourOpenDAta/ckanext-dcatapedp" TargetMode="External"/><Relationship Id="rId16" Type="http://schemas.openxmlformats.org/officeDocument/2006/relationships/hyperlink" Target="https://endgameproject.github.io/" TargetMode="External"/><Relationship Id="rId1" Type="http://schemas.openxmlformats.org/officeDocument/2006/relationships/hyperlink" Target="https://sostenibilidadgenerativa.cotec.es/" TargetMode="External"/><Relationship Id="rId6" Type="http://schemas.openxmlformats.org/officeDocument/2006/relationships/hyperlink" Target="https://github.com/YourOpenDAta/ckan_yoda" TargetMode="External"/><Relationship Id="rId11" Type="http://schemas.openxmlformats.org/officeDocument/2006/relationships/hyperlink" Target="https://digital-strategy.ec.europa.eu/en/policies/data-spaces" TargetMode="External"/><Relationship Id="rId5" Type="http://schemas.openxmlformats.org/officeDocument/2006/relationships/hyperlink" Target="https://github.com/ging/fiware-cosmos" TargetMode="External"/><Relationship Id="rId15" Type="http://schemas.openxmlformats.org/officeDocument/2006/relationships/hyperlink" Target="https://fun4date.github.io/" TargetMode="External"/><Relationship Id="rId10" Type="http://schemas.openxmlformats.org/officeDocument/2006/relationships/hyperlink" Target="https://deploytour.eu/the-project/" TargetMode="External"/><Relationship Id="rId4" Type="http://schemas.openxmlformats.org/officeDocument/2006/relationships/hyperlink" Target="https://github.com/ging/fiware-draco" TargetMode="External"/><Relationship Id="rId9" Type="http://schemas.openxmlformats.org/officeDocument/2006/relationships/hyperlink" Target="https://www.npmjs.com/package/autocorector" TargetMode="External"/><Relationship Id="rId14" Type="http://schemas.openxmlformats.org/officeDocument/2006/relationships/hyperlink" Target="https://eunomia.dit.up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EC95-0CE0-6C44-BF2E-6C5F1E503471}">
  <dimension ref="A1:AMO56"/>
  <sheetViews>
    <sheetView tabSelected="1" topLeftCell="F33" workbookViewId="0">
      <selection activeCell="I52" sqref="I52"/>
    </sheetView>
  </sheetViews>
  <sheetFormatPr baseColWidth="10" defaultColWidth="11.5" defaultRowHeight="15" x14ac:dyDescent="0.2"/>
  <cols>
    <col min="1" max="1" width="15.33203125" style="11" customWidth="1"/>
    <col min="2" max="3" width="59" style="11" customWidth="1"/>
    <col min="4" max="4" width="114" style="11" customWidth="1"/>
    <col min="5" max="5" width="52" style="11" bestFit="1" customWidth="1"/>
    <col min="6" max="6" width="39" style="11" bestFit="1" customWidth="1"/>
    <col min="7" max="7" width="29.5" style="11" bestFit="1" customWidth="1"/>
    <col min="8" max="8" width="53.83203125" style="11" customWidth="1"/>
    <col min="9" max="10" width="13.1640625" style="17" customWidth="1"/>
    <col min="11" max="12" width="21.33203125" style="11" customWidth="1"/>
    <col min="13" max="13" width="11.83203125" style="13" customWidth="1"/>
    <col min="14" max="14" width="20" style="13" customWidth="1"/>
    <col min="15" max="16" width="22.33203125" style="11" customWidth="1"/>
    <col min="17" max="17" width="15.33203125" style="11" customWidth="1"/>
    <col min="18" max="19" width="11.5" style="11"/>
    <col min="20" max="20" width="25" style="11" bestFit="1" customWidth="1"/>
    <col min="21" max="21" width="14" style="11" bestFit="1" customWidth="1"/>
    <col min="22" max="1029" width="11.5" style="11"/>
    <col min="1030" max="16384" width="11.5" style="6"/>
  </cols>
  <sheetData>
    <row r="1" spans="1:1029" s="5" customFormat="1" ht="64" x14ac:dyDescent="0.15">
      <c r="A1" s="1" t="s">
        <v>0</v>
      </c>
      <c r="B1" s="1" t="s">
        <v>1</v>
      </c>
      <c r="C1" s="1" t="s">
        <v>2</v>
      </c>
      <c r="D1" s="1" t="s">
        <v>3</v>
      </c>
      <c r="E1" s="1" t="s">
        <v>4</v>
      </c>
      <c r="F1" s="1" t="s">
        <v>5</v>
      </c>
      <c r="G1" s="1" t="s">
        <v>6</v>
      </c>
      <c r="H1" s="1" t="s">
        <v>7</v>
      </c>
      <c r="I1" s="2" t="s">
        <v>8</v>
      </c>
      <c r="J1" s="2" t="s">
        <v>9</v>
      </c>
      <c r="K1" s="3" t="s">
        <v>10</v>
      </c>
      <c r="L1" s="3" t="s">
        <v>11</v>
      </c>
      <c r="M1" s="4" t="s">
        <v>12</v>
      </c>
      <c r="N1" s="4" t="s">
        <v>13</v>
      </c>
      <c r="O1" s="1" t="s">
        <v>14</v>
      </c>
      <c r="P1" s="1" t="s">
        <v>15</v>
      </c>
      <c r="Q1" s="1" t="s">
        <v>16</v>
      </c>
      <c r="R1" s="1" t="s">
        <v>17</v>
      </c>
      <c r="S1" s="1" t="s">
        <v>18</v>
      </c>
      <c r="T1" s="1" t="s">
        <v>19</v>
      </c>
      <c r="U1" s="5" t="s">
        <v>20</v>
      </c>
      <c r="V1" s="5" t="s">
        <v>21</v>
      </c>
      <c r="W1" s="5" t="s">
        <v>22</v>
      </c>
    </row>
    <row r="2" spans="1:1029" ht="256" x14ac:dyDescent="0.2">
      <c r="A2" s="6" t="s">
        <v>23</v>
      </c>
      <c r="B2" s="6" t="s">
        <v>24</v>
      </c>
      <c r="C2" s="7" t="s">
        <v>24</v>
      </c>
      <c r="D2" s="6"/>
      <c r="E2" s="8" t="s">
        <v>25</v>
      </c>
      <c r="F2" s="6"/>
      <c r="G2" s="6"/>
      <c r="H2" s="6" t="s">
        <v>26</v>
      </c>
      <c r="I2" s="9">
        <v>472500</v>
      </c>
      <c r="J2" s="9"/>
      <c r="K2" s="6" t="s">
        <v>27</v>
      </c>
      <c r="L2" s="6"/>
      <c r="M2" s="10">
        <v>45444</v>
      </c>
      <c r="N2" s="10">
        <v>46538</v>
      </c>
      <c r="O2" s="11">
        <f>DATEDIF(M2,N2+1, "M")</f>
        <v>36</v>
      </c>
      <c r="P2" s="6"/>
      <c r="Q2" s="6" t="s">
        <v>28</v>
      </c>
      <c r="R2" s="6"/>
      <c r="S2" s="6" t="s">
        <v>29</v>
      </c>
      <c r="T2" s="6" t="s">
        <v>30</v>
      </c>
      <c r="U2" s="11" t="s">
        <v>29</v>
      </c>
      <c r="V2" s="12" t="s">
        <v>31</v>
      </c>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c r="JP2" s="6"/>
      <c r="JQ2" s="6"/>
      <c r="JR2" s="6"/>
      <c r="JS2" s="6"/>
      <c r="JT2" s="6"/>
      <c r="JU2" s="6"/>
      <c r="JV2" s="6"/>
      <c r="JW2" s="6"/>
      <c r="JX2" s="6"/>
      <c r="JY2" s="6"/>
      <c r="JZ2" s="6"/>
      <c r="KA2" s="6"/>
      <c r="KB2" s="6"/>
      <c r="KC2" s="6"/>
      <c r="KD2" s="6"/>
      <c r="KE2" s="6"/>
      <c r="KF2" s="6"/>
      <c r="KG2" s="6"/>
      <c r="KH2" s="6"/>
      <c r="KI2" s="6"/>
      <c r="KJ2" s="6"/>
      <c r="KK2" s="6"/>
      <c r="KL2" s="6"/>
      <c r="KM2" s="6"/>
      <c r="KN2" s="6"/>
      <c r="KO2" s="6"/>
      <c r="KP2" s="6"/>
      <c r="KQ2" s="6"/>
      <c r="KR2" s="6"/>
      <c r="KS2" s="6"/>
      <c r="KT2" s="6"/>
      <c r="KU2" s="6"/>
      <c r="KV2" s="6"/>
      <c r="KW2" s="6"/>
      <c r="KX2" s="6"/>
      <c r="KY2" s="6"/>
      <c r="KZ2" s="6"/>
      <c r="LA2" s="6"/>
      <c r="LB2" s="6"/>
      <c r="LC2" s="6"/>
      <c r="LD2" s="6"/>
      <c r="LE2" s="6"/>
      <c r="LF2" s="6"/>
      <c r="LG2" s="6"/>
      <c r="LH2" s="6"/>
      <c r="LI2" s="6"/>
      <c r="LJ2" s="6"/>
      <c r="LK2" s="6"/>
      <c r="LL2" s="6"/>
      <c r="LM2" s="6"/>
      <c r="LN2" s="6"/>
      <c r="LO2" s="6"/>
      <c r="LP2" s="6"/>
      <c r="LQ2" s="6"/>
      <c r="LR2" s="6"/>
      <c r="LS2" s="6"/>
      <c r="LT2" s="6"/>
      <c r="LU2" s="6"/>
      <c r="LV2" s="6"/>
      <c r="LW2" s="6"/>
      <c r="LX2" s="6"/>
      <c r="LY2" s="6"/>
      <c r="LZ2" s="6"/>
      <c r="MA2" s="6"/>
      <c r="MB2" s="6"/>
      <c r="MC2" s="6"/>
      <c r="MD2" s="6"/>
      <c r="ME2" s="6"/>
      <c r="MF2" s="6"/>
      <c r="MG2" s="6"/>
      <c r="MH2" s="6"/>
      <c r="MI2" s="6"/>
      <c r="MJ2" s="6"/>
      <c r="MK2" s="6"/>
      <c r="ML2" s="6"/>
      <c r="MM2" s="6"/>
      <c r="MN2" s="6"/>
      <c r="MO2" s="6"/>
      <c r="MP2" s="6"/>
      <c r="MQ2" s="6"/>
      <c r="MR2" s="6"/>
      <c r="MS2" s="6"/>
      <c r="MT2" s="6"/>
      <c r="MU2" s="6"/>
      <c r="MV2" s="6"/>
      <c r="MW2" s="6"/>
      <c r="MX2" s="6"/>
      <c r="MY2" s="6"/>
      <c r="MZ2" s="6"/>
      <c r="NA2" s="6"/>
      <c r="NB2" s="6"/>
      <c r="NC2" s="6"/>
      <c r="ND2" s="6"/>
      <c r="NE2" s="6"/>
      <c r="NF2" s="6"/>
      <c r="NG2" s="6"/>
      <c r="NH2" s="6"/>
      <c r="NI2" s="6"/>
      <c r="NJ2" s="6"/>
      <c r="NK2" s="6"/>
      <c r="NL2" s="6"/>
      <c r="NM2" s="6"/>
      <c r="NN2" s="6"/>
      <c r="NO2" s="6"/>
      <c r="NP2" s="6"/>
      <c r="NQ2" s="6"/>
      <c r="NR2" s="6"/>
      <c r="NS2" s="6"/>
      <c r="NT2" s="6"/>
      <c r="NU2" s="6"/>
      <c r="NV2" s="6"/>
      <c r="NW2" s="6"/>
      <c r="NX2" s="6"/>
      <c r="NY2" s="6"/>
      <c r="NZ2" s="6"/>
      <c r="OA2" s="6"/>
      <c r="OB2" s="6"/>
      <c r="OC2" s="6"/>
      <c r="OD2" s="6"/>
      <c r="OE2" s="6"/>
      <c r="OF2" s="6"/>
      <c r="OG2" s="6"/>
      <c r="OH2" s="6"/>
      <c r="OI2" s="6"/>
      <c r="OJ2" s="6"/>
      <c r="OK2" s="6"/>
      <c r="OL2" s="6"/>
      <c r="OM2" s="6"/>
      <c r="ON2" s="6"/>
      <c r="OO2" s="6"/>
      <c r="OP2" s="6"/>
      <c r="OQ2" s="6"/>
      <c r="OR2" s="6"/>
      <c r="OS2" s="6"/>
      <c r="OT2" s="6"/>
      <c r="OU2" s="6"/>
      <c r="OV2" s="6"/>
      <c r="OW2" s="6"/>
      <c r="OX2" s="6"/>
      <c r="OY2" s="6"/>
      <c r="OZ2" s="6"/>
      <c r="PA2" s="6"/>
      <c r="PB2" s="6"/>
      <c r="PC2" s="6"/>
      <c r="PD2" s="6"/>
      <c r="PE2" s="6"/>
      <c r="PF2" s="6"/>
      <c r="PG2" s="6"/>
      <c r="PH2" s="6"/>
      <c r="PI2" s="6"/>
      <c r="PJ2" s="6"/>
      <c r="PK2" s="6"/>
      <c r="PL2" s="6"/>
      <c r="PM2" s="6"/>
      <c r="PN2" s="6"/>
      <c r="PO2" s="6"/>
      <c r="PP2" s="6"/>
      <c r="PQ2" s="6"/>
      <c r="PR2" s="6"/>
      <c r="PS2" s="6"/>
      <c r="PT2" s="6"/>
      <c r="PU2" s="6"/>
      <c r="PV2" s="6"/>
      <c r="PW2" s="6"/>
      <c r="PX2" s="6"/>
      <c r="PY2" s="6"/>
      <c r="PZ2" s="6"/>
      <c r="QA2" s="6"/>
      <c r="QB2" s="6"/>
      <c r="QC2" s="6"/>
      <c r="QD2" s="6"/>
      <c r="QE2" s="6"/>
      <c r="QF2" s="6"/>
      <c r="QG2" s="6"/>
      <c r="QH2" s="6"/>
      <c r="QI2" s="6"/>
      <c r="QJ2" s="6"/>
      <c r="QK2" s="6"/>
      <c r="QL2" s="6"/>
      <c r="QM2" s="6"/>
      <c r="QN2" s="6"/>
      <c r="QO2" s="6"/>
      <c r="QP2" s="6"/>
      <c r="QQ2" s="6"/>
      <c r="QR2" s="6"/>
      <c r="QS2" s="6"/>
      <c r="QT2" s="6"/>
      <c r="QU2" s="6"/>
      <c r="QV2" s="6"/>
      <c r="QW2" s="6"/>
      <c r="QX2" s="6"/>
      <c r="QY2" s="6"/>
      <c r="QZ2" s="6"/>
      <c r="RA2" s="6"/>
      <c r="RB2" s="6"/>
      <c r="RC2" s="6"/>
      <c r="RD2" s="6"/>
      <c r="RE2" s="6"/>
      <c r="RF2" s="6"/>
      <c r="RG2" s="6"/>
      <c r="RH2" s="6"/>
      <c r="RI2" s="6"/>
      <c r="RJ2" s="6"/>
      <c r="RK2" s="6"/>
      <c r="RL2" s="6"/>
      <c r="RM2" s="6"/>
      <c r="RN2" s="6"/>
      <c r="RO2" s="6"/>
      <c r="RP2" s="6"/>
      <c r="RQ2" s="6"/>
      <c r="RR2" s="6"/>
      <c r="RS2" s="6"/>
      <c r="RT2" s="6"/>
      <c r="RU2" s="6"/>
      <c r="RV2" s="6"/>
      <c r="RW2" s="6"/>
      <c r="RX2" s="6"/>
      <c r="RY2" s="6"/>
      <c r="RZ2" s="6"/>
      <c r="SA2" s="6"/>
      <c r="SB2" s="6"/>
      <c r="SC2" s="6"/>
      <c r="SD2" s="6"/>
      <c r="SE2" s="6"/>
      <c r="SF2" s="6"/>
      <c r="SG2" s="6"/>
      <c r="SH2" s="6"/>
      <c r="SI2" s="6"/>
      <c r="SJ2" s="6"/>
      <c r="SK2" s="6"/>
      <c r="SL2" s="6"/>
      <c r="SM2" s="6"/>
      <c r="SN2" s="6"/>
      <c r="SO2" s="6"/>
      <c r="SP2" s="6"/>
      <c r="SQ2" s="6"/>
      <c r="SR2" s="6"/>
      <c r="SS2" s="6"/>
      <c r="ST2" s="6"/>
      <c r="SU2" s="6"/>
      <c r="SV2" s="6"/>
      <c r="SW2" s="6"/>
      <c r="SX2" s="6"/>
      <c r="SY2" s="6"/>
      <c r="SZ2" s="6"/>
      <c r="TA2" s="6"/>
      <c r="TB2" s="6"/>
      <c r="TC2" s="6"/>
      <c r="TD2" s="6"/>
      <c r="TE2" s="6"/>
      <c r="TF2" s="6"/>
      <c r="TG2" s="6"/>
      <c r="TH2" s="6"/>
      <c r="TI2" s="6"/>
      <c r="TJ2" s="6"/>
      <c r="TK2" s="6"/>
      <c r="TL2" s="6"/>
      <c r="TM2" s="6"/>
      <c r="TN2" s="6"/>
      <c r="TO2" s="6"/>
      <c r="TP2" s="6"/>
      <c r="TQ2" s="6"/>
      <c r="TR2" s="6"/>
      <c r="TS2" s="6"/>
      <c r="TT2" s="6"/>
      <c r="TU2" s="6"/>
      <c r="TV2" s="6"/>
      <c r="TW2" s="6"/>
      <c r="TX2" s="6"/>
      <c r="TY2" s="6"/>
      <c r="TZ2" s="6"/>
      <c r="UA2" s="6"/>
      <c r="UB2" s="6"/>
      <c r="UC2" s="6"/>
      <c r="UD2" s="6"/>
      <c r="UE2" s="6"/>
      <c r="UF2" s="6"/>
      <c r="UG2" s="6"/>
      <c r="UH2" s="6"/>
      <c r="UI2" s="6"/>
      <c r="UJ2" s="6"/>
      <c r="UK2" s="6"/>
      <c r="UL2" s="6"/>
      <c r="UM2" s="6"/>
      <c r="UN2" s="6"/>
      <c r="UO2" s="6"/>
      <c r="UP2" s="6"/>
      <c r="UQ2" s="6"/>
      <c r="UR2" s="6"/>
      <c r="US2" s="6"/>
      <c r="UT2" s="6"/>
      <c r="UU2" s="6"/>
      <c r="UV2" s="6"/>
      <c r="UW2" s="6"/>
      <c r="UX2" s="6"/>
      <c r="UY2" s="6"/>
      <c r="UZ2" s="6"/>
      <c r="VA2" s="6"/>
      <c r="VB2" s="6"/>
      <c r="VC2" s="6"/>
      <c r="VD2" s="6"/>
      <c r="VE2" s="6"/>
      <c r="VF2" s="6"/>
      <c r="VG2" s="6"/>
      <c r="VH2" s="6"/>
      <c r="VI2" s="6"/>
      <c r="VJ2" s="6"/>
      <c r="VK2" s="6"/>
      <c r="VL2" s="6"/>
      <c r="VM2" s="6"/>
      <c r="VN2" s="6"/>
      <c r="VO2" s="6"/>
      <c r="VP2" s="6"/>
      <c r="VQ2" s="6"/>
      <c r="VR2" s="6"/>
      <c r="VS2" s="6"/>
      <c r="VT2" s="6"/>
      <c r="VU2" s="6"/>
      <c r="VV2" s="6"/>
      <c r="VW2" s="6"/>
      <c r="VX2" s="6"/>
      <c r="VY2" s="6"/>
      <c r="VZ2" s="6"/>
      <c r="WA2" s="6"/>
      <c r="WB2" s="6"/>
      <c r="WC2" s="6"/>
      <c r="WD2" s="6"/>
      <c r="WE2" s="6"/>
      <c r="WF2" s="6"/>
      <c r="WG2" s="6"/>
      <c r="WH2" s="6"/>
      <c r="WI2" s="6"/>
      <c r="WJ2" s="6"/>
      <c r="WK2" s="6"/>
      <c r="WL2" s="6"/>
      <c r="WM2" s="6"/>
      <c r="WN2" s="6"/>
      <c r="WO2" s="6"/>
      <c r="WP2" s="6"/>
      <c r="WQ2" s="6"/>
      <c r="WR2" s="6"/>
      <c r="WS2" s="6"/>
      <c r="WT2" s="6"/>
      <c r="WU2" s="6"/>
      <c r="WV2" s="6"/>
      <c r="WW2" s="6"/>
      <c r="WX2" s="6"/>
      <c r="WY2" s="6"/>
      <c r="WZ2" s="6"/>
      <c r="XA2" s="6"/>
      <c r="XB2" s="6"/>
      <c r="XC2" s="6"/>
      <c r="XD2" s="6"/>
      <c r="XE2" s="6"/>
      <c r="XF2" s="6"/>
      <c r="XG2" s="6"/>
      <c r="XH2" s="6"/>
      <c r="XI2" s="6"/>
      <c r="XJ2" s="6"/>
      <c r="XK2" s="6"/>
      <c r="XL2" s="6"/>
      <c r="XM2" s="6"/>
      <c r="XN2" s="6"/>
      <c r="XO2" s="6"/>
      <c r="XP2" s="6"/>
      <c r="XQ2" s="6"/>
      <c r="XR2" s="6"/>
      <c r="XS2" s="6"/>
      <c r="XT2" s="6"/>
      <c r="XU2" s="6"/>
      <c r="XV2" s="6"/>
      <c r="XW2" s="6"/>
      <c r="XX2" s="6"/>
      <c r="XY2" s="6"/>
      <c r="XZ2" s="6"/>
      <c r="YA2" s="6"/>
      <c r="YB2" s="6"/>
      <c r="YC2" s="6"/>
      <c r="YD2" s="6"/>
      <c r="YE2" s="6"/>
      <c r="YF2" s="6"/>
      <c r="YG2" s="6"/>
      <c r="YH2" s="6"/>
      <c r="YI2" s="6"/>
      <c r="YJ2" s="6"/>
      <c r="YK2" s="6"/>
      <c r="YL2" s="6"/>
      <c r="YM2" s="6"/>
      <c r="YN2" s="6"/>
      <c r="YO2" s="6"/>
      <c r="YP2" s="6"/>
      <c r="YQ2" s="6"/>
      <c r="YR2" s="6"/>
      <c r="YS2" s="6"/>
      <c r="YT2" s="6"/>
      <c r="YU2" s="6"/>
      <c r="YV2" s="6"/>
      <c r="YW2" s="6"/>
      <c r="YX2" s="6"/>
      <c r="YY2" s="6"/>
      <c r="YZ2" s="6"/>
      <c r="ZA2" s="6"/>
      <c r="ZB2" s="6"/>
      <c r="ZC2" s="6"/>
      <c r="ZD2" s="6"/>
      <c r="ZE2" s="6"/>
      <c r="ZF2" s="6"/>
      <c r="ZG2" s="6"/>
      <c r="ZH2" s="6"/>
      <c r="ZI2" s="6"/>
      <c r="ZJ2" s="6"/>
      <c r="ZK2" s="6"/>
      <c r="ZL2" s="6"/>
      <c r="ZM2" s="6"/>
      <c r="ZN2" s="6"/>
      <c r="ZO2" s="6"/>
      <c r="ZP2" s="6"/>
      <c r="ZQ2" s="6"/>
      <c r="ZR2" s="6"/>
      <c r="ZS2" s="6"/>
      <c r="ZT2" s="6"/>
      <c r="ZU2" s="6"/>
      <c r="ZV2" s="6"/>
      <c r="ZW2" s="6"/>
      <c r="ZX2" s="6"/>
      <c r="ZY2" s="6"/>
      <c r="ZZ2" s="6"/>
      <c r="AAA2" s="6"/>
      <c r="AAB2" s="6"/>
      <c r="AAC2" s="6"/>
      <c r="AAD2" s="6"/>
      <c r="AAE2" s="6"/>
      <c r="AAF2" s="6"/>
      <c r="AAG2" s="6"/>
      <c r="AAH2" s="6"/>
      <c r="AAI2" s="6"/>
      <c r="AAJ2" s="6"/>
      <c r="AAK2" s="6"/>
      <c r="AAL2" s="6"/>
      <c r="AAM2" s="6"/>
      <c r="AAN2" s="6"/>
      <c r="AAO2" s="6"/>
      <c r="AAP2" s="6"/>
      <c r="AAQ2" s="6"/>
      <c r="AAR2" s="6"/>
      <c r="AAS2" s="6"/>
      <c r="AAT2" s="6"/>
      <c r="AAU2" s="6"/>
      <c r="AAV2" s="6"/>
      <c r="AAW2" s="6"/>
      <c r="AAX2" s="6"/>
      <c r="AAY2" s="6"/>
      <c r="AAZ2" s="6"/>
      <c r="ABA2" s="6"/>
      <c r="ABB2" s="6"/>
      <c r="ABC2" s="6"/>
      <c r="ABD2" s="6"/>
      <c r="ABE2" s="6"/>
      <c r="ABF2" s="6"/>
      <c r="ABG2" s="6"/>
      <c r="ABH2" s="6"/>
      <c r="ABI2" s="6"/>
      <c r="ABJ2" s="6"/>
      <c r="ABK2" s="6"/>
      <c r="ABL2" s="6"/>
      <c r="ABM2" s="6"/>
      <c r="ABN2" s="6"/>
      <c r="ABO2" s="6"/>
      <c r="ABP2" s="6"/>
      <c r="ABQ2" s="6"/>
      <c r="ABR2" s="6"/>
      <c r="ABS2" s="6"/>
      <c r="ABT2" s="6"/>
      <c r="ABU2" s="6"/>
      <c r="ABV2" s="6"/>
      <c r="ABW2" s="6"/>
      <c r="ABX2" s="6"/>
      <c r="ABY2" s="6"/>
      <c r="ABZ2" s="6"/>
      <c r="ACA2" s="6"/>
      <c r="ACB2" s="6"/>
      <c r="ACC2" s="6"/>
      <c r="ACD2" s="6"/>
      <c r="ACE2" s="6"/>
      <c r="ACF2" s="6"/>
      <c r="ACG2" s="6"/>
      <c r="ACH2" s="6"/>
      <c r="ACI2" s="6"/>
      <c r="ACJ2" s="6"/>
      <c r="ACK2" s="6"/>
      <c r="ACL2" s="6"/>
      <c r="ACM2" s="6"/>
      <c r="ACN2" s="6"/>
      <c r="ACO2" s="6"/>
      <c r="ACP2" s="6"/>
      <c r="ACQ2" s="6"/>
      <c r="ACR2" s="6"/>
      <c r="ACS2" s="6"/>
      <c r="ACT2" s="6"/>
      <c r="ACU2" s="6"/>
      <c r="ACV2" s="6"/>
      <c r="ACW2" s="6"/>
      <c r="ACX2" s="6"/>
      <c r="ACY2" s="6"/>
      <c r="ACZ2" s="6"/>
      <c r="ADA2" s="6"/>
      <c r="ADB2" s="6"/>
      <c r="ADC2" s="6"/>
      <c r="ADD2" s="6"/>
      <c r="ADE2" s="6"/>
      <c r="ADF2" s="6"/>
      <c r="ADG2" s="6"/>
      <c r="ADH2" s="6"/>
      <c r="ADI2" s="6"/>
      <c r="ADJ2" s="6"/>
      <c r="ADK2" s="6"/>
      <c r="ADL2" s="6"/>
      <c r="ADM2" s="6"/>
      <c r="ADN2" s="6"/>
      <c r="ADO2" s="6"/>
      <c r="ADP2" s="6"/>
      <c r="ADQ2" s="6"/>
      <c r="ADR2" s="6"/>
      <c r="ADS2" s="6"/>
      <c r="ADT2" s="6"/>
      <c r="ADU2" s="6"/>
      <c r="ADV2" s="6"/>
      <c r="ADW2" s="6"/>
      <c r="ADX2" s="6"/>
      <c r="ADY2" s="6"/>
      <c r="ADZ2" s="6"/>
      <c r="AEA2" s="6"/>
      <c r="AEB2" s="6"/>
      <c r="AEC2" s="6"/>
      <c r="AED2" s="6"/>
      <c r="AEE2" s="6"/>
      <c r="AEF2" s="6"/>
      <c r="AEG2" s="6"/>
      <c r="AEH2" s="6"/>
      <c r="AEI2" s="6"/>
      <c r="AEJ2" s="6"/>
      <c r="AEK2" s="6"/>
      <c r="AEL2" s="6"/>
      <c r="AEM2" s="6"/>
      <c r="AEN2" s="6"/>
      <c r="AEO2" s="6"/>
      <c r="AEP2" s="6"/>
      <c r="AEQ2" s="6"/>
      <c r="AER2" s="6"/>
      <c r="AES2" s="6"/>
      <c r="AET2" s="6"/>
      <c r="AEU2" s="6"/>
      <c r="AEV2" s="6"/>
      <c r="AEW2" s="6"/>
      <c r="AEX2" s="6"/>
      <c r="AEY2" s="6"/>
      <c r="AEZ2" s="6"/>
      <c r="AFA2" s="6"/>
      <c r="AFB2" s="6"/>
      <c r="AFC2" s="6"/>
      <c r="AFD2" s="6"/>
      <c r="AFE2" s="6"/>
      <c r="AFF2" s="6"/>
      <c r="AFG2" s="6"/>
      <c r="AFH2" s="6"/>
      <c r="AFI2" s="6"/>
      <c r="AFJ2" s="6"/>
      <c r="AFK2" s="6"/>
      <c r="AFL2" s="6"/>
      <c r="AFM2" s="6"/>
      <c r="AFN2" s="6"/>
      <c r="AFO2" s="6"/>
      <c r="AFP2" s="6"/>
      <c r="AFQ2" s="6"/>
      <c r="AFR2" s="6"/>
      <c r="AFS2" s="6"/>
      <c r="AFT2" s="6"/>
      <c r="AFU2" s="6"/>
      <c r="AFV2" s="6"/>
      <c r="AFW2" s="6"/>
      <c r="AFX2" s="6"/>
      <c r="AFY2" s="6"/>
      <c r="AFZ2" s="6"/>
      <c r="AGA2" s="6"/>
      <c r="AGB2" s="6"/>
      <c r="AGC2" s="6"/>
      <c r="AGD2" s="6"/>
      <c r="AGE2" s="6"/>
      <c r="AGF2" s="6"/>
      <c r="AGG2" s="6"/>
      <c r="AGH2" s="6"/>
      <c r="AGI2" s="6"/>
      <c r="AGJ2" s="6"/>
      <c r="AGK2" s="6"/>
      <c r="AGL2" s="6"/>
      <c r="AGM2" s="6"/>
      <c r="AGN2" s="6"/>
      <c r="AGO2" s="6"/>
      <c r="AGP2" s="6"/>
      <c r="AGQ2" s="6"/>
      <c r="AGR2" s="6"/>
      <c r="AGS2" s="6"/>
      <c r="AGT2" s="6"/>
      <c r="AGU2" s="6"/>
      <c r="AGV2" s="6"/>
      <c r="AGW2" s="6"/>
      <c r="AGX2" s="6"/>
      <c r="AGY2" s="6"/>
      <c r="AGZ2" s="6"/>
      <c r="AHA2" s="6"/>
      <c r="AHB2" s="6"/>
      <c r="AHC2" s="6"/>
      <c r="AHD2" s="6"/>
      <c r="AHE2" s="6"/>
      <c r="AHF2" s="6"/>
      <c r="AHG2" s="6"/>
      <c r="AHH2" s="6"/>
      <c r="AHI2" s="6"/>
      <c r="AHJ2" s="6"/>
      <c r="AHK2" s="6"/>
      <c r="AHL2" s="6"/>
      <c r="AHM2" s="6"/>
      <c r="AHN2" s="6"/>
      <c r="AHO2" s="6"/>
      <c r="AHP2" s="6"/>
      <c r="AHQ2" s="6"/>
      <c r="AHR2" s="6"/>
      <c r="AHS2" s="6"/>
      <c r="AHT2" s="6"/>
      <c r="AHU2" s="6"/>
      <c r="AHV2" s="6"/>
      <c r="AHW2" s="6"/>
      <c r="AHX2" s="6"/>
      <c r="AHY2" s="6"/>
      <c r="AHZ2" s="6"/>
      <c r="AIA2" s="6"/>
      <c r="AIB2" s="6"/>
      <c r="AIC2" s="6"/>
      <c r="AID2" s="6"/>
      <c r="AIE2" s="6"/>
      <c r="AIF2" s="6"/>
      <c r="AIG2" s="6"/>
      <c r="AIH2" s="6"/>
      <c r="AII2" s="6"/>
      <c r="AIJ2" s="6"/>
      <c r="AIK2" s="6"/>
      <c r="AIL2" s="6"/>
      <c r="AIM2" s="6"/>
      <c r="AIN2" s="6"/>
      <c r="AIO2" s="6"/>
      <c r="AIP2" s="6"/>
      <c r="AIQ2" s="6"/>
      <c r="AIR2" s="6"/>
      <c r="AIS2" s="6"/>
      <c r="AIT2" s="6"/>
      <c r="AIU2" s="6"/>
      <c r="AIV2" s="6"/>
      <c r="AIW2" s="6"/>
      <c r="AIX2" s="6"/>
      <c r="AIY2" s="6"/>
      <c r="AIZ2" s="6"/>
      <c r="AJA2" s="6"/>
      <c r="AJB2" s="6"/>
      <c r="AJC2" s="6"/>
      <c r="AJD2" s="6"/>
      <c r="AJE2" s="6"/>
      <c r="AJF2" s="6"/>
      <c r="AJG2" s="6"/>
      <c r="AJH2" s="6"/>
      <c r="AJI2" s="6"/>
      <c r="AJJ2" s="6"/>
      <c r="AJK2" s="6"/>
      <c r="AJL2" s="6"/>
      <c r="AJM2" s="6"/>
      <c r="AJN2" s="6"/>
      <c r="AJO2" s="6"/>
      <c r="AJP2" s="6"/>
      <c r="AJQ2" s="6"/>
      <c r="AJR2" s="6"/>
      <c r="AJS2" s="6"/>
      <c r="AJT2" s="6"/>
      <c r="AJU2" s="6"/>
      <c r="AJV2" s="6"/>
      <c r="AJW2" s="6"/>
      <c r="AJX2" s="6"/>
      <c r="AJY2" s="6"/>
      <c r="AJZ2" s="6"/>
      <c r="AKA2" s="6"/>
      <c r="AKB2" s="6"/>
      <c r="AKC2" s="6"/>
      <c r="AKD2" s="6"/>
      <c r="AKE2" s="6"/>
      <c r="AKF2" s="6"/>
      <c r="AKG2" s="6"/>
      <c r="AKH2" s="6"/>
      <c r="AKI2" s="6"/>
      <c r="AKJ2" s="6"/>
      <c r="AKK2" s="6"/>
      <c r="AKL2" s="6"/>
      <c r="AKM2" s="6"/>
      <c r="AKN2" s="6"/>
      <c r="AKO2" s="6"/>
      <c r="AKP2" s="6"/>
      <c r="AKQ2" s="6"/>
      <c r="AKR2" s="6"/>
      <c r="AKS2" s="6"/>
      <c r="AKT2" s="6"/>
      <c r="AKU2" s="6"/>
      <c r="AKV2" s="6"/>
      <c r="AKW2" s="6"/>
      <c r="AKX2" s="6"/>
      <c r="AKY2" s="6"/>
      <c r="AKZ2" s="6"/>
      <c r="ALA2" s="6"/>
      <c r="ALB2" s="6"/>
      <c r="ALC2" s="6"/>
      <c r="ALD2" s="6"/>
      <c r="ALE2" s="6"/>
      <c r="ALF2" s="6"/>
      <c r="ALG2" s="6"/>
      <c r="ALH2" s="6"/>
      <c r="ALI2" s="6"/>
      <c r="ALJ2" s="6"/>
      <c r="ALK2" s="6"/>
      <c r="ALL2" s="6"/>
      <c r="ALM2" s="6"/>
      <c r="ALN2" s="6"/>
      <c r="ALO2" s="6"/>
      <c r="ALP2" s="6"/>
      <c r="ALQ2" s="6"/>
      <c r="ALR2" s="6"/>
      <c r="ALS2" s="6"/>
      <c r="ALT2" s="6"/>
      <c r="ALU2" s="6"/>
      <c r="ALV2" s="6"/>
      <c r="ALW2" s="6"/>
      <c r="ALX2" s="6"/>
      <c r="ALY2" s="6"/>
      <c r="ALZ2" s="6"/>
      <c r="AMA2" s="6"/>
      <c r="AMB2" s="6"/>
      <c r="AMC2" s="6"/>
      <c r="AMD2" s="6"/>
      <c r="AME2" s="6"/>
      <c r="AMF2" s="6"/>
      <c r="AMG2" s="6"/>
      <c r="AMH2" s="6"/>
      <c r="AMI2" s="6"/>
      <c r="AMJ2" s="6"/>
      <c r="AMK2" s="6"/>
      <c r="AML2" s="6"/>
      <c r="AMM2" s="6"/>
      <c r="AMN2" s="6"/>
      <c r="AMO2" s="6"/>
    </row>
    <row r="3" spans="1:1029" ht="16" x14ac:dyDescent="0.2">
      <c r="A3" s="6" t="s">
        <v>32</v>
      </c>
      <c r="B3" s="6" t="s">
        <v>33</v>
      </c>
      <c r="C3" s="7" t="s">
        <v>33</v>
      </c>
      <c r="D3" s="6"/>
      <c r="E3" s="6"/>
      <c r="F3" s="6"/>
      <c r="G3" s="6" t="s">
        <v>34</v>
      </c>
      <c r="H3" s="6" t="s">
        <v>35</v>
      </c>
      <c r="I3" s="9">
        <v>47000</v>
      </c>
      <c r="J3" s="9">
        <v>47000</v>
      </c>
      <c r="K3" s="6" t="s">
        <v>36</v>
      </c>
      <c r="L3" s="6"/>
      <c r="M3" s="13">
        <v>45231</v>
      </c>
      <c r="N3" s="13">
        <v>45504</v>
      </c>
      <c r="O3" s="11">
        <f t="shared" ref="O3:O25" si="0">DATEDIF(M3,N3+1, "M")</f>
        <v>9</v>
      </c>
      <c r="P3" s="6"/>
      <c r="Q3" s="6" t="s">
        <v>37</v>
      </c>
      <c r="R3" s="6"/>
      <c r="S3" s="6" t="s">
        <v>38</v>
      </c>
      <c r="T3" s="6" t="s">
        <v>39</v>
      </c>
      <c r="U3" s="6" t="s">
        <v>29</v>
      </c>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c r="JW3" s="6"/>
      <c r="JX3" s="6"/>
      <c r="JY3" s="6"/>
      <c r="JZ3" s="6"/>
      <c r="KA3" s="6"/>
      <c r="KB3" s="6"/>
      <c r="KC3" s="6"/>
      <c r="KD3" s="6"/>
      <c r="KE3" s="6"/>
      <c r="KF3" s="6"/>
      <c r="KG3" s="6"/>
      <c r="KH3" s="6"/>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c r="LL3" s="6"/>
      <c r="LM3" s="6"/>
      <c r="LN3" s="6"/>
      <c r="LO3" s="6"/>
      <c r="LP3" s="6"/>
      <c r="LQ3" s="6"/>
      <c r="LR3" s="6"/>
      <c r="LS3" s="6"/>
      <c r="LT3" s="6"/>
      <c r="LU3" s="6"/>
      <c r="LV3" s="6"/>
      <c r="LW3" s="6"/>
      <c r="LX3" s="6"/>
      <c r="LY3" s="6"/>
      <c r="LZ3" s="6"/>
      <c r="MA3" s="6"/>
      <c r="MB3" s="6"/>
      <c r="MC3" s="6"/>
      <c r="MD3" s="6"/>
      <c r="ME3" s="6"/>
      <c r="MF3" s="6"/>
      <c r="MG3" s="6"/>
      <c r="MH3" s="6"/>
      <c r="MI3" s="6"/>
      <c r="MJ3" s="6"/>
      <c r="MK3" s="6"/>
      <c r="ML3" s="6"/>
      <c r="MM3" s="6"/>
      <c r="MN3" s="6"/>
      <c r="MO3" s="6"/>
      <c r="MP3" s="6"/>
      <c r="MQ3" s="6"/>
      <c r="MR3" s="6"/>
      <c r="MS3" s="6"/>
      <c r="MT3" s="6"/>
      <c r="MU3" s="6"/>
      <c r="MV3" s="6"/>
      <c r="MW3" s="6"/>
      <c r="MX3" s="6"/>
      <c r="MY3" s="6"/>
      <c r="MZ3" s="6"/>
      <c r="NA3" s="6"/>
      <c r="NB3" s="6"/>
      <c r="NC3" s="6"/>
      <c r="ND3" s="6"/>
      <c r="NE3" s="6"/>
      <c r="NF3" s="6"/>
      <c r="NG3" s="6"/>
      <c r="NH3" s="6"/>
      <c r="NI3" s="6"/>
      <c r="NJ3" s="6"/>
      <c r="NK3" s="6"/>
      <c r="NL3" s="6"/>
      <c r="NM3" s="6"/>
      <c r="NN3" s="6"/>
      <c r="NO3" s="6"/>
      <c r="NP3" s="6"/>
      <c r="NQ3" s="6"/>
      <c r="NR3" s="6"/>
      <c r="NS3" s="6"/>
      <c r="NT3" s="6"/>
      <c r="NU3" s="6"/>
      <c r="NV3" s="6"/>
      <c r="NW3" s="6"/>
      <c r="NX3" s="6"/>
      <c r="NY3" s="6"/>
      <c r="NZ3" s="6"/>
      <c r="OA3" s="6"/>
      <c r="OB3" s="6"/>
      <c r="OC3" s="6"/>
      <c r="OD3" s="6"/>
      <c r="OE3" s="6"/>
      <c r="OF3" s="6"/>
      <c r="OG3" s="6"/>
      <c r="OH3" s="6"/>
      <c r="OI3" s="6"/>
      <c r="OJ3" s="6"/>
      <c r="OK3" s="6"/>
      <c r="OL3" s="6"/>
      <c r="OM3" s="6"/>
      <c r="ON3" s="6"/>
      <c r="OO3" s="6"/>
      <c r="OP3" s="6"/>
      <c r="OQ3" s="6"/>
      <c r="OR3" s="6"/>
      <c r="OS3" s="6"/>
      <c r="OT3" s="6"/>
      <c r="OU3" s="6"/>
      <c r="OV3" s="6"/>
      <c r="OW3" s="6"/>
      <c r="OX3" s="6"/>
      <c r="OY3" s="6"/>
      <c r="OZ3" s="6"/>
      <c r="PA3" s="6"/>
      <c r="PB3" s="6"/>
      <c r="PC3" s="6"/>
      <c r="PD3" s="6"/>
      <c r="PE3" s="6"/>
      <c r="PF3" s="6"/>
      <c r="PG3" s="6"/>
      <c r="PH3" s="6"/>
      <c r="PI3" s="6"/>
      <c r="PJ3" s="6"/>
      <c r="PK3" s="6"/>
      <c r="PL3" s="6"/>
      <c r="PM3" s="6"/>
      <c r="PN3" s="6"/>
      <c r="PO3" s="6"/>
      <c r="PP3" s="6"/>
      <c r="PQ3" s="6"/>
      <c r="PR3" s="6"/>
      <c r="PS3" s="6"/>
      <c r="PT3" s="6"/>
      <c r="PU3" s="6"/>
      <c r="PV3" s="6"/>
      <c r="PW3" s="6"/>
      <c r="PX3" s="6"/>
      <c r="PY3" s="6"/>
      <c r="PZ3" s="6"/>
      <c r="QA3" s="6"/>
      <c r="QB3" s="6"/>
      <c r="QC3" s="6"/>
      <c r="QD3" s="6"/>
      <c r="QE3" s="6"/>
      <c r="QF3" s="6"/>
      <c r="QG3" s="6"/>
      <c r="QH3" s="6"/>
      <c r="QI3" s="6"/>
      <c r="QJ3" s="6"/>
      <c r="QK3" s="6"/>
      <c r="QL3" s="6"/>
      <c r="QM3" s="6"/>
      <c r="QN3" s="6"/>
      <c r="QO3" s="6"/>
      <c r="QP3" s="6"/>
      <c r="QQ3" s="6"/>
      <c r="QR3" s="6"/>
      <c r="QS3" s="6"/>
      <c r="QT3" s="6"/>
      <c r="QU3" s="6"/>
      <c r="QV3" s="6"/>
      <c r="QW3" s="6"/>
      <c r="QX3" s="6"/>
      <c r="QY3" s="6"/>
      <c r="QZ3" s="6"/>
      <c r="RA3" s="6"/>
      <c r="RB3" s="6"/>
      <c r="RC3" s="6"/>
      <c r="RD3" s="6"/>
      <c r="RE3" s="6"/>
      <c r="RF3" s="6"/>
      <c r="RG3" s="6"/>
      <c r="RH3" s="6"/>
      <c r="RI3" s="6"/>
      <c r="RJ3" s="6"/>
      <c r="RK3" s="6"/>
      <c r="RL3" s="6"/>
      <c r="RM3" s="6"/>
      <c r="RN3" s="6"/>
      <c r="RO3" s="6"/>
      <c r="RP3" s="6"/>
      <c r="RQ3" s="6"/>
      <c r="RR3" s="6"/>
      <c r="RS3" s="6"/>
      <c r="RT3" s="6"/>
      <c r="RU3" s="6"/>
      <c r="RV3" s="6"/>
      <c r="RW3" s="6"/>
      <c r="RX3" s="6"/>
      <c r="RY3" s="6"/>
      <c r="RZ3" s="6"/>
      <c r="SA3" s="6"/>
      <c r="SB3" s="6"/>
      <c r="SC3" s="6"/>
      <c r="SD3" s="6"/>
      <c r="SE3" s="6"/>
      <c r="SF3" s="6"/>
      <c r="SG3" s="6"/>
      <c r="SH3" s="6"/>
      <c r="SI3" s="6"/>
      <c r="SJ3" s="6"/>
      <c r="SK3" s="6"/>
      <c r="SL3" s="6"/>
      <c r="SM3" s="6"/>
      <c r="SN3" s="6"/>
      <c r="SO3" s="6"/>
      <c r="SP3" s="6"/>
      <c r="SQ3" s="6"/>
      <c r="SR3" s="6"/>
      <c r="SS3" s="6"/>
      <c r="ST3" s="6"/>
      <c r="SU3" s="6"/>
      <c r="SV3" s="6"/>
      <c r="SW3" s="6"/>
      <c r="SX3" s="6"/>
      <c r="SY3" s="6"/>
      <c r="SZ3" s="6"/>
      <c r="TA3" s="6"/>
      <c r="TB3" s="6"/>
      <c r="TC3" s="6"/>
      <c r="TD3" s="6"/>
      <c r="TE3" s="6"/>
      <c r="TF3" s="6"/>
      <c r="TG3" s="6"/>
      <c r="TH3" s="6"/>
      <c r="TI3" s="6"/>
      <c r="TJ3" s="6"/>
      <c r="TK3" s="6"/>
      <c r="TL3" s="6"/>
      <c r="TM3" s="6"/>
      <c r="TN3" s="6"/>
      <c r="TO3" s="6"/>
      <c r="TP3" s="6"/>
      <c r="TQ3" s="6"/>
      <c r="TR3" s="6"/>
      <c r="TS3" s="6"/>
      <c r="TT3" s="6"/>
      <c r="TU3" s="6"/>
      <c r="TV3" s="6"/>
      <c r="TW3" s="6"/>
      <c r="TX3" s="6"/>
      <c r="TY3" s="6"/>
      <c r="TZ3" s="6"/>
      <c r="UA3" s="6"/>
      <c r="UB3" s="6"/>
      <c r="UC3" s="6"/>
      <c r="UD3" s="6"/>
      <c r="UE3" s="6"/>
      <c r="UF3" s="6"/>
      <c r="UG3" s="6"/>
      <c r="UH3" s="6"/>
      <c r="UI3" s="6"/>
      <c r="UJ3" s="6"/>
      <c r="UK3" s="6"/>
      <c r="UL3" s="6"/>
      <c r="UM3" s="6"/>
      <c r="UN3" s="6"/>
      <c r="UO3" s="6"/>
      <c r="UP3" s="6"/>
      <c r="UQ3" s="6"/>
      <c r="UR3" s="6"/>
      <c r="US3" s="6"/>
      <c r="UT3" s="6"/>
      <c r="UU3" s="6"/>
      <c r="UV3" s="6"/>
      <c r="UW3" s="6"/>
      <c r="UX3" s="6"/>
      <c r="UY3" s="6"/>
      <c r="UZ3" s="6"/>
      <c r="VA3" s="6"/>
      <c r="VB3" s="6"/>
      <c r="VC3" s="6"/>
      <c r="VD3" s="6"/>
      <c r="VE3" s="6"/>
      <c r="VF3" s="6"/>
      <c r="VG3" s="6"/>
      <c r="VH3" s="6"/>
      <c r="VI3" s="6"/>
      <c r="VJ3" s="6"/>
      <c r="VK3" s="6"/>
      <c r="VL3" s="6"/>
      <c r="VM3" s="6"/>
      <c r="VN3" s="6"/>
      <c r="VO3" s="6"/>
      <c r="VP3" s="6"/>
      <c r="VQ3" s="6"/>
      <c r="VR3" s="6"/>
      <c r="VS3" s="6"/>
      <c r="VT3" s="6"/>
      <c r="VU3" s="6"/>
      <c r="VV3" s="6"/>
      <c r="VW3" s="6"/>
      <c r="VX3" s="6"/>
      <c r="VY3" s="6"/>
      <c r="VZ3" s="6"/>
      <c r="WA3" s="6"/>
      <c r="WB3" s="6"/>
      <c r="WC3" s="6"/>
      <c r="WD3" s="6"/>
      <c r="WE3" s="6"/>
      <c r="WF3" s="6"/>
      <c r="WG3" s="6"/>
      <c r="WH3" s="6"/>
      <c r="WI3" s="6"/>
      <c r="WJ3" s="6"/>
      <c r="WK3" s="6"/>
      <c r="WL3" s="6"/>
      <c r="WM3" s="6"/>
      <c r="WN3" s="6"/>
      <c r="WO3" s="6"/>
      <c r="WP3" s="6"/>
      <c r="WQ3" s="6"/>
      <c r="WR3" s="6"/>
      <c r="WS3" s="6"/>
      <c r="WT3" s="6"/>
      <c r="WU3" s="6"/>
      <c r="WV3" s="6"/>
      <c r="WW3" s="6"/>
      <c r="WX3" s="6"/>
      <c r="WY3" s="6"/>
      <c r="WZ3" s="6"/>
      <c r="XA3" s="6"/>
      <c r="XB3" s="6"/>
      <c r="XC3" s="6"/>
      <c r="XD3" s="6"/>
      <c r="XE3" s="6"/>
      <c r="XF3" s="6"/>
      <c r="XG3" s="6"/>
      <c r="XH3" s="6"/>
      <c r="XI3" s="6"/>
      <c r="XJ3" s="6"/>
      <c r="XK3" s="6"/>
      <c r="XL3" s="6"/>
      <c r="XM3" s="6"/>
      <c r="XN3" s="6"/>
      <c r="XO3" s="6"/>
      <c r="XP3" s="6"/>
      <c r="XQ3" s="6"/>
      <c r="XR3" s="6"/>
      <c r="XS3" s="6"/>
      <c r="XT3" s="6"/>
      <c r="XU3" s="6"/>
      <c r="XV3" s="6"/>
      <c r="XW3" s="6"/>
      <c r="XX3" s="6"/>
      <c r="XY3" s="6"/>
      <c r="XZ3" s="6"/>
      <c r="YA3" s="6"/>
      <c r="YB3" s="6"/>
      <c r="YC3" s="6"/>
      <c r="YD3" s="6"/>
      <c r="YE3" s="6"/>
      <c r="YF3" s="6"/>
      <c r="YG3" s="6"/>
      <c r="YH3" s="6"/>
      <c r="YI3" s="6"/>
      <c r="YJ3" s="6"/>
      <c r="YK3" s="6"/>
      <c r="YL3" s="6"/>
      <c r="YM3" s="6"/>
      <c r="YN3" s="6"/>
      <c r="YO3" s="6"/>
      <c r="YP3" s="6"/>
      <c r="YQ3" s="6"/>
      <c r="YR3" s="6"/>
      <c r="YS3" s="6"/>
      <c r="YT3" s="6"/>
      <c r="YU3" s="6"/>
      <c r="YV3" s="6"/>
      <c r="YW3" s="6"/>
      <c r="YX3" s="6"/>
      <c r="YY3" s="6"/>
      <c r="YZ3" s="6"/>
      <c r="ZA3" s="6"/>
      <c r="ZB3" s="6"/>
      <c r="ZC3" s="6"/>
      <c r="ZD3" s="6"/>
      <c r="ZE3" s="6"/>
      <c r="ZF3" s="6"/>
      <c r="ZG3" s="6"/>
      <c r="ZH3" s="6"/>
      <c r="ZI3" s="6"/>
      <c r="ZJ3" s="6"/>
      <c r="ZK3" s="6"/>
      <c r="ZL3" s="6"/>
      <c r="ZM3" s="6"/>
      <c r="ZN3" s="6"/>
      <c r="ZO3" s="6"/>
      <c r="ZP3" s="6"/>
      <c r="ZQ3" s="6"/>
      <c r="ZR3" s="6"/>
      <c r="ZS3" s="6"/>
      <c r="ZT3" s="6"/>
      <c r="ZU3" s="6"/>
      <c r="ZV3" s="6"/>
      <c r="ZW3" s="6"/>
      <c r="ZX3" s="6"/>
      <c r="ZY3" s="6"/>
      <c r="ZZ3" s="6"/>
      <c r="AAA3" s="6"/>
      <c r="AAB3" s="6"/>
      <c r="AAC3" s="6"/>
      <c r="AAD3" s="6"/>
      <c r="AAE3" s="6"/>
      <c r="AAF3" s="6"/>
      <c r="AAG3" s="6"/>
      <c r="AAH3" s="6"/>
      <c r="AAI3" s="6"/>
      <c r="AAJ3" s="6"/>
      <c r="AAK3" s="6"/>
      <c r="AAL3" s="6"/>
      <c r="AAM3" s="6"/>
      <c r="AAN3" s="6"/>
      <c r="AAO3" s="6"/>
      <c r="AAP3" s="6"/>
      <c r="AAQ3" s="6"/>
      <c r="AAR3" s="6"/>
      <c r="AAS3" s="6"/>
      <c r="AAT3" s="6"/>
      <c r="AAU3" s="6"/>
      <c r="AAV3" s="6"/>
      <c r="AAW3" s="6"/>
      <c r="AAX3" s="6"/>
      <c r="AAY3" s="6"/>
      <c r="AAZ3" s="6"/>
      <c r="ABA3" s="6"/>
      <c r="ABB3" s="6"/>
      <c r="ABC3" s="6"/>
      <c r="ABD3" s="6"/>
      <c r="ABE3" s="6"/>
      <c r="ABF3" s="6"/>
      <c r="ABG3" s="6"/>
      <c r="ABH3" s="6"/>
      <c r="ABI3" s="6"/>
      <c r="ABJ3" s="6"/>
      <c r="ABK3" s="6"/>
      <c r="ABL3" s="6"/>
      <c r="ABM3" s="6"/>
      <c r="ABN3" s="6"/>
      <c r="ABO3" s="6"/>
      <c r="ABP3" s="6"/>
      <c r="ABQ3" s="6"/>
      <c r="ABR3" s="6"/>
      <c r="ABS3" s="6"/>
      <c r="ABT3" s="6"/>
      <c r="ABU3" s="6"/>
      <c r="ABV3" s="6"/>
      <c r="ABW3" s="6"/>
      <c r="ABX3" s="6"/>
      <c r="ABY3" s="6"/>
      <c r="ABZ3" s="6"/>
      <c r="ACA3" s="6"/>
      <c r="ACB3" s="6"/>
      <c r="ACC3" s="6"/>
      <c r="ACD3" s="6"/>
      <c r="ACE3" s="6"/>
      <c r="ACF3" s="6"/>
      <c r="ACG3" s="6"/>
      <c r="ACH3" s="6"/>
      <c r="ACI3" s="6"/>
      <c r="ACJ3" s="6"/>
      <c r="ACK3" s="6"/>
      <c r="ACL3" s="6"/>
      <c r="ACM3" s="6"/>
      <c r="ACN3" s="6"/>
      <c r="ACO3" s="6"/>
      <c r="ACP3" s="6"/>
      <c r="ACQ3" s="6"/>
      <c r="ACR3" s="6"/>
      <c r="ACS3" s="6"/>
      <c r="ACT3" s="6"/>
      <c r="ACU3" s="6"/>
      <c r="ACV3" s="6"/>
      <c r="ACW3" s="6"/>
      <c r="ACX3" s="6"/>
      <c r="ACY3" s="6"/>
      <c r="ACZ3" s="6"/>
      <c r="ADA3" s="6"/>
      <c r="ADB3" s="6"/>
      <c r="ADC3" s="6"/>
      <c r="ADD3" s="6"/>
      <c r="ADE3" s="6"/>
      <c r="ADF3" s="6"/>
      <c r="ADG3" s="6"/>
      <c r="ADH3" s="6"/>
      <c r="ADI3" s="6"/>
      <c r="ADJ3" s="6"/>
      <c r="ADK3" s="6"/>
      <c r="ADL3" s="6"/>
      <c r="ADM3" s="6"/>
      <c r="ADN3" s="6"/>
      <c r="ADO3" s="6"/>
      <c r="ADP3" s="6"/>
      <c r="ADQ3" s="6"/>
      <c r="ADR3" s="6"/>
      <c r="ADS3" s="6"/>
      <c r="ADT3" s="6"/>
      <c r="ADU3" s="6"/>
      <c r="ADV3" s="6"/>
      <c r="ADW3" s="6"/>
      <c r="ADX3" s="6"/>
      <c r="ADY3" s="6"/>
      <c r="ADZ3" s="6"/>
      <c r="AEA3" s="6"/>
      <c r="AEB3" s="6"/>
      <c r="AEC3" s="6"/>
      <c r="AED3" s="6"/>
      <c r="AEE3" s="6"/>
      <c r="AEF3" s="6"/>
      <c r="AEG3" s="6"/>
      <c r="AEH3" s="6"/>
      <c r="AEI3" s="6"/>
      <c r="AEJ3" s="6"/>
      <c r="AEK3" s="6"/>
      <c r="AEL3" s="6"/>
      <c r="AEM3" s="6"/>
      <c r="AEN3" s="6"/>
      <c r="AEO3" s="6"/>
      <c r="AEP3" s="6"/>
      <c r="AEQ3" s="6"/>
      <c r="AER3" s="6"/>
      <c r="AES3" s="6"/>
      <c r="AET3" s="6"/>
      <c r="AEU3" s="6"/>
      <c r="AEV3" s="6"/>
      <c r="AEW3" s="6"/>
      <c r="AEX3" s="6"/>
      <c r="AEY3" s="6"/>
      <c r="AEZ3" s="6"/>
      <c r="AFA3" s="6"/>
      <c r="AFB3" s="6"/>
      <c r="AFC3" s="6"/>
      <c r="AFD3" s="6"/>
      <c r="AFE3" s="6"/>
      <c r="AFF3" s="6"/>
      <c r="AFG3" s="6"/>
      <c r="AFH3" s="6"/>
      <c r="AFI3" s="6"/>
      <c r="AFJ3" s="6"/>
      <c r="AFK3" s="6"/>
      <c r="AFL3" s="6"/>
      <c r="AFM3" s="6"/>
      <c r="AFN3" s="6"/>
      <c r="AFO3" s="6"/>
      <c r="AFP3" s="6"/>
      <c r="AFQ3" s="6"/>
      <c r="AFR3" s="6"/>
      <c r="AFS3" s="6"/>
      <c r="AFT3" s="6"/>
      <c r="AFU3" s="6"/>
      <c r="AFV3" s="6"/>
      <c r="AFW3" s="6"/>
      <c r="AFX3" s="6"/>
      <c r="AFY3" s="6"/>
      <c r="AFZ3" s="6"/>
      <c r="AGA3" s="6"/>
      <c r="AGB3" s="6"/>
      <c r="AGC3" s="6"/>
      <c r="AGD3" s="6"/>
      <c r="AGE3" s="6"/>
      <c r="AGF3" s="6"/>
      <c r="AGG3" s="6"/>
      <c r="AGH3" s="6"/>
      <c r="AGI3" s="6"/>
      <c r="AGJ3" s="6"/>
      <c r="AGK3" s="6"/>
      <c r="AGL3" s="6"/>
      <c r="AGM3" s="6"/>
      <c r="AGN3" s="6"/>
      <c r="AGO3" s="6"/>
      <c r="AGP3" s="6"/>
      <c r="AGQ3" s="6"/>
      <c r="AGR3" s="6"/>
      <c r="AGS3" s="6"/>
      <c r="AGT3" s="6"/>
      <c r="AGU3" s="6"/>
      <c r="AGV3" s="6"/>
      <c r="AGW3" s="6"/>
      <c r="AGX3" s="6"/>
      <c r="AGY3" s="6"/>
      <c r="AGZ3" s="6"/>
      <c r="AHA3" s="6"/>
      <c r="AHB3" s="6"/>
      <c r="AHC3" s="6"/>
      <c r="AHD3" s="6"/>
      <c r="AHE3" s="6"/>
      <c r="AHF3" s="6"/>
      <c r="AHG3" s="6"/>
      <c r="AHH3" s="6"/>
      <c r="AHI3" s="6"/>
      <c r="AHJ3" s="6"/>
      <c r="AHK3" s="6"/>
      <c r="AHL3" s="6"/>
      <c r="AHM3" s="6"/>
      <c r="AHN3" s="6"/>
      <c r="AHO3" s="6"/>
      <c r="AHP3" s="6"/>
      <c r="AHQ3" s="6"/>
      <c r="AHR3" s="6"/>
      <c r="AHS3" s="6"/>
      <c r="AHT3" s="6"/>
      <c r="AHU3" s="6"/>
      <c r="AHV3" s="6"/>
      <c r="AHW3" s="6"/>
      <c r="AHX3" s="6"/>
      <c r="AHY3" s="6"/>
      <c r="AHZ3" s="6"/>
      <c r="AIA3" s="6"/>
      <c r="AIB3" s="6"/>
      <c r="AIC3" s="6"/>
      <c r="AID3" s="6"/>
      <c r="AIE3" s="6"/>
      <c r="AIF3" s="6"/>
      <c r="AIG3" s="6"/>
      <c r="AIH3" s="6"/>
      <c r="AII3" s="6"/>
      <c r="AIJ3" s="6"/>
      <c r="AIK3" s="6"/>
      <c r="AIL3" s="6"/>
      <c r="AIM3" s="6"/>
      <c r="AIN3" s="6"/>
      <c r="AIO3" s="6"/>
      <c r="AIP3" s="6"/>
      <c r="AIQ3" s="6"/>
      <c r="AIR3" s="6"/>
      <c r="AIS3" s="6"/>
      <c r="AIT3" s="6"/>
      <c r="AIU3" s="6"/>
      <c r="AIV3" s="6"/>
      <c r="AIW3" s="6"/>
      <c r="AIX3" s="6"/>
      <c r="AIY3" s="6"/>
      <c r="AIZ3" s="6"/>
      <c r="AJA3" s="6"/>
      <c r="AJB3" s="6"/>
      <c r="AJC3" s="6"/>
      <c r="AJD3" s="6"/>
      <c r="AJE3" s="6"/>
      <c r="AJF3" s="6"/>
      <c r="AJG3" s="6"/>
      <c r="AJH3" s="6"/>
      <c r="AJI3" s="6"/>
      <c r="AJJ3" s="6"/>
      <c r="AJK3" s="6"/>
      <c r="AJL3" s="6"/>
      <c r="AJM3" s="6"/>
      <c r="AJN3" s="6"/>
      <c r="AJO3" s="6"/>
      <c r="AJP3" s="6"/>
      <c r="AJQ3" s="6"/>
      <c r="AJR3" s="6"/>
      <c r="AJS3" s="6"/>
      <c r="AJT3" s="6"/>
      <c r="AJU3" s="6"/>
      <c r="AJV3" s="6"/>
      <c r="AJW3" s="6"/>
      <c r="AJX3" s="6"/>
      <c r="AJY3" s="6"/>
      <c r="AJZ3" s="6"/>
      <c r="AKA3" s="6"/>
      <c r="AKB3" s="6"/>
      <c r="AKC3" s="6"/>
      <c r="AKD3" s="6"/>
      <c r="AKE3" s="6"/>
      <c r="AKF3" s="6"/>
      <c r="AKG3" s="6"/>
      <c r="AKH3" s="6"/>
      <c r="AKI3" s="6"/>
      <c r="AKJ3" s="6"/>
      <c r="AKK3" s="6"/>
      <c r="AKL3" s="6"/>
      <c r="AKM3" s="6"/>
      <c r="AKN3" s="6"/>
      <c r="AKO3" s="6"/>
      <c r="AKP3" s="6"/>
      <c r="AKQ3" s="6"/>
      <c r="AKR3" s="6"/>
      <c r="AKS3" s="6"/>
      <c r="AKT3" s="6"/>
      <c r="AKU3" s="6"/>
      <c r="AKV3" s="6"/>
      <c r="AKW3" s="6"/>
      <c r="AKX3" s="6"/>
      <c r="AKY3" s="6"/>
      <c r="AKZ3" s="6"/>
      <c r="ALA3" s="6"/>
      <c r="ALB3" s="6"/>
      <c r="ALC3" s="6"/>
      <c r="ALD3" s="6"/>
      <c r="ALE3" s="6"/>
      <c r="ALF3" s="6"/>
      <c r="ALG3" s="6"/>
      <c r="ALH3" s="6"/>
      <c r="ALI3" s="6"/>
      <c r="ALJ3" s="6"/>
      <c r="ALK3" s="6"/>
      <c r="ALL3" s="6"/>
      <c r="ALM3" s="6"/>
      <c r="ALN3" s="6"/>
      <c r="ALO3" s="6"/>
      <c r="ALP3" s="6"/>
      <c r="ALQ3" s="6"/>
      <c r="ALR3" s="6"/>
      <c r="ALS3" s="6"/>
      <c r="ALT3" s="6"/>
      <c r="ALU3" s="6"/>
      <c r="ALV3" s="6"/>
      <c r="ALW3" s="6"/>
      <c r="ALX3" s="6"/>
      <c r="ALY3" s="6"/>
      <c r="ALZ3" s="6"/>
      <c r="AMA3" s="6"/>
      <c r="AMB3" s="6"/>
      <c r="AMC3" s="6"/>
      <c r="AMD3" s="6"/>
      <c r="AME3" s="6"/>
      <c r="AMF3" s="6"/>
      <c r="AMG3" s="6"/>
      <c r="AMH3" s="6"/>
      <c r="AMI3" s="6"/>
      <c r="AMJ3" s="6"/>
      <c r="AMK3" s="6"/>
      <c r="AML3" s="6"/>
      <c r="AMM3" s="6"/>
      <c r="AMN3" s="6"/>
      <c r="AMO3" s="6"/>
    </row>
    <row r="4" spans="1:1029" ht="16" x14ac:dyDescent="0.2">
      <c r="A4" s="6" t="s">
        <v>32</v>
      </c>
      <c r="B4" s="6" t="s">
        <v>40</v>
      </c>
      <c r="C4" s="7" t="s">
        <v>40</v>
      </c>
      <c r="D4" s="6"/>
      <c r="E4" s="6"/>
      <c r="F4" s="6"/>
      <c r="G4" s="6" t="s">
        <v>41</v>
      </c>
      <c r="H4" s="6" t="s">
        <v>42</v>
      </c>
      <c r="I4" s="9">
        <v>75000</v>
      </c>
      <c r="J4" s="9">
        <v>75000</v>
      </c>
      <c r="K4" s="6" t="s">
        <v>36</v>
      </c>
      <c r="L4" s="6"/>
      <c r="M4" s="13">
        <v>45261</v>
      </c>
      <c r="N4" s="13">
        <v>45626</v>
      </c>
      <c r="O4" s="11">
        <f t="shared" si="0"/>
        <v>12</v>
      </c>
      <c r="P4" s="6"/>
      <c r="Q4" s="6" t="s">
        <v>37</v>
      </c>
      <c r="R4" s="6"/>
      <c r="S4" s="6" t="s">
        <v>38</v>
      </c>
      <c r="T4" s="6" t="s">
        <v>39</v>
      </c>
      <c r="U4" s="6" t="s">
        <v>29</v>
      </c>
      <c r="V4" s="6"/>
      <c r="W4" s="6" t="s">
        <v>43</v>
      </c>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MQ4" s="6"/>
      <c r="MR4" s="6"/>
      <c r="MS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6"/>
      <c r="AAJ4" s="6"/>
      <c r="AAK4" s="6"/>
      <c r="AAL4" s="6"/>
      <c r="AAM4" s="6"/>
      <c r="AAN4" s="6"/>
      <c r="AAO4" s="6"/>
      <c r="AAP4" s="6"/>
      <c r="AAQ4" s="6"/>
      <c r="AAR4" s="6"/>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6"/>
      <c r="AIP4" s="6"/>
      <c r="AIQ4" s="6"/>
      <c r="AIR4" s="6"/>
      <c r="AIS4" s="6"/>
      <c r="AIT4" s="6"/>
      <c r="AIU4" s="6"/>
      <c r="AIV4" s="6"/>
      <c r="AIW4" s="6"/>
      <c r="AIX4" s="6"/>
      <c r="AIY4" s="6"/>
      <c r="AIZ4" s="6"/>
      <c r="AJA4" s="6"/>
      <c r="AJB4" s="6"/>
      <c r="AJC4" s="6"/>
      <c r="AJD4" s="6"/>
      <c r="AJE4" s="6"/>
      <c r="AJF4" s="6"/>
      <c r="AJG4" s="6"/>
      <c r="AJH4" s="6"/>
      <c r="AJI4" s="6"/>
      <c r="AJJ4" s="6"/>
      <c r="AJK4" s="6"/>
      <c r="AJL4" s="6"/>
      <c r="AJM4" s="6"/>
      <c r="AJN4" s="6"/>
      <c r="AJO4" s="6"/>
      <c r="AJP4" s="6"/>
      <c r="AJQ4" s="6"/>
      <c r="AJR4" s="6"/>
      <c r="AJS4" s="6"/>
      <c r="AJT4" s="6"/>
      <c r="AJU4" s="6"/>
      <c r="AJV4" s="6"/>
      <c r="AJW4" s="6"/>
      <c r="AJX4" s="6"/>
      <c r="AJY4" s="6"/>
      <c r="AJZ4" s="6"/>
      <c r="AKA4" s="6"/>
      <c r="AKB4" s="6"/>
      <c r="AKC4" s="6"/>
      <c r="AKD4" s="6"/>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row>
    <row r="5" spans="1:1029" ht="32" x14ac:dyDescent="0.2">
      <c r="A5" s="6" t="s">
        <v>23</v>
      </c>
      <c r="B5" s="12" t="s">
        <v>44</v>
      </c>
      <c r="C5" s="7" t="s">
        <v>45</v>
      </c>
      <c r="D5" s="12"/>
      <c r="E5" s="14" t="s">
        <v>46</v>
      </c>
      <c r="F5" s="6"/>
      <c r="G5" s="6"/>
      <c r="H5" s="6" t="s">
        <v>47</v>
      </c>
      <c r="I5" s="9">
        <v>1000475</v>
      </c>
      <c r="J5" s="9"/>
      <c r="K5" s="6" t="s">
        <v>36</v>
      </c>
      <c r="L5" s="6"/>
      <c r="M5" s="13">
        <v>45289</v>
      </c>
      <c r="N5" s="13">
        <v>46203</v>
      </c>
      <c r="O5" s="11">
        <f t="shared" si="0"/>
        <v>30</v>
      </c>
      <c r="P5" s="6"/>
      <c r="Q5" s="6" t="s">
        <v>37</v>
      </c>
      <c r="R5" s="6" t="s">
        <v>48</v>
      </c>
      <c r="S5" s="6" t="s">
        <v>38</v>
      </c>
      <c r="T5" s="6" t="s">
        <v>49</v>
      </c>
      <c r="U5" s="6" t="s">
        <v>38</v>
      </c>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c r="JW5" s="6"/>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Q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I5" s="6"/>
      <c r="AAJ5" s="6"/>
      <c r="AAK5" s="6"/>
      <c r="AAL5" s="6"/>
      <c r="AAM5" s="6"/>
      <c r="AAN5" s="6"/>
      <c r="AAO5" s="6"/>
      <c r="AAP5" s="6"/>
      <c r="AAQ5" s="6"/>
      <c r="AAR5" s="6"/>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s="6"/>
      <c r="AIP5" s="6"/>
      <c r="AIQ5" s="6"/>
      <c r="AIR5" s="6"/>
      <c r="AIS5" s="6"/>
      <c r="AIT5" s="6"/>
      <c r="AIU5" s="6"/>
      <c r="AIV5" s="6"/>
      <c r="AIW5" s="6"/>
      <c r="AIX5" s="6"/>
      <c r="AIY5" s="6"/>
      <c r="AIZ5" s="6"/>
      <c r="AJA5" s="6"/>
      <c r="AJB5" s="6"/>
      <c r="AJC5" s="6"/>
      <c r="AJD5" s="6"/>
      <c r="AJE5" s="6"/>
      <c r="AJF5" s="6"/>
      <c r="AJG5" s="6"/>
      <c r="AJH5" s="6"/>
      <c r="AJI5" s="6"/>
      <c r="AJJ5" s="6"/>
      <c r="AJK5" s="6"/>
      <c r="AJL5" s="6"/>
      <c r="AJM5" s="6"/>
      <c r="AJN5" s="6"/>
      <c r="AJO5" s="6"/>
      <c r="AJP5" s="6"/>
      <c r="AJQ5" s="6"/>
      <c r="AJR5" s="6"/>
      <c r="AJS5" s="6"/>
      <c r="AJT5" s="6"/>
      <c r="AJU5" s="6"/>
      <c r="AJV5" s="6"/>
      <c r="AJW5" s="6"/>
      <c r="AJX5" s="6"/>
      <c r="AJY5" s="6"/>
      <c r="AJZ5" s="6"/>
      <c r="AKA5" s="6"/>
      <c r="AKB5" s="6"/>
      <c r="AKC5" s="6"/>
      <c r="AKD5" s="6"/>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row>
    <row r="6" spans="1:1029" ht="315" customHeight="1" x14ac:dyDescent="0.2">
      <c r="A6" s="6" t="s">
        <v>23</v>
      </c>
      <c r="B6" s="6" t="s">
        <v>50</v>
      </c>
      <c r="C6" s="7" t="s">
        <v>51</v>
      </c>
      <c r="D6" s="6"/>
      <c r="E6" s="8" t="s">
        <v>52</v>
      </c>
      <c r="F6" s="6" t="s">
        <v>53</v>
      </c>
      <c r="G6" s="15" t="s">
        <v>54</v>
      </c>
      <c r="H6" s="16" t="s">
        <v>55</v>
      </c>
      <c r="I6" s="17">
        <v>177500</v>
      </c>
      <c r="J6" s="17">
        <v>177500</v>
      </c>
      <c r="K6" s="12" t="s">
        <v>56</v>
      </c>
      <c r="L6" s="12"/>
      <c r="M6" s="13">
        <v>45170</v>
      </c>
      <c r="N6" s="13">
        <v>46265</v>
      </c>
      <c r="O6" s="11">
        <f t="shared" si="0"/>
        <v>36</v>
      </c>
      <c r="P6" s="6"/>
      <c r="Q6" s="6" t="s">
        <v>37</v>
      </c>
      <c r="R6" s="12" t="s">
        <v>57</v>
      </c>
      <c r="S6" s="12" t="s">
        <v>38</v>
      </c>
      <c r="T6" s="12" t="s">
        <v>58</v>
      </c>
      <c r="U6" s="11" t="s">
        <v>29</v>
      </c>
      <c r="V6" s="6" t="s">
        <v>59</v>
      </c>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c r="JW6" s="6"/>
      <c r="JX6" s="6"/>
      <c r="JY6" s="6"/>
      <c r="JZ6" s="6"/>
      <c r="KA6" s="6"/>
      <c r="KB6" s="6"/>
      <c r="KC6" s="6"/>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Q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6"/>
      <c r="AAJ6" s="6"/>
      <c r="AAK6" s="6"/>
      <c r="AAL6" s="6"/>
      <c r="AAM6" s="6"/>
      <c r="AAN6" s="6"/>
      <c r="AAO6" s="6"/>
      <c r="AAP6" s="6"/>
      <c r="AAQ6" s="6"/>
      <c r="AAR6" s="6"/>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6"/>
      <c r="AIP6" s="6"/>
      <c r="AIQ6" s="6"/>
      <c r="AIR6" s="6"/>
      <c r="AIS6" s="6"/>
      <c r="AIT6" s="6"/>
      <c r="AIU6" s="6"/>
      <c r="AIV6" s="6"/>
      <c r="AIW6" s="6"/>
      <c r="AIX6" s="6"/>
      <c r="AIY6" s="6"/>
      <c r="AIZ6" s="6"/>
      <c r="AJA6" s="6"/>
      <c r="AJB6" s="6"/>
      <c r="AJC6" s="6"/>
      <c r="AJD6" s="6"/>
      <c r="AJE6" s="6"/>
      <c r="AJF6" s="6"/>
      <c r="AJG6" s="6"/>
      <c r="AJH6" s="6"/>
      <c r="AJI6" s="6"/>
      <c r="AJJ6" s="6"/>
      <c r="AJK6" s="6"/>
      <c r="AJL6" s="6"/>
      <c r="AJM6" s="6"/>
      <c r="AJN6" s="6"/>
      <c r="AJO6" s="6"/>
      <c r="AJP6" s="6"/>
      <c r="AJQ6" s="6"/>
      <c r="AJR6" s="6"/>
      <c r="AJS6" s="6"/>
      <c r="AJT6" s="6"/>
      <c r="AJU6" s="6"/>
      <c r="AJV6" s="6"/>
      <c r="AJW6" s="6"/>
      <c r="AJX6" s="6"/>
      <c r="AJY6" s="6"/>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row>
    <row r="7" spans="1:1029" ht="16" x14ac:dyDescent="0.2">
      <c r="A7" s="11" t="s">
        <v>32</v>
      </c>
      <c r="B7" s="11" t="s">
        <v>60</v>
      </c>
      <c r="C7" s="7" t="s">
        <v>61</v>
      </c>
      <c r="F7" s="11" t="s">
        <v>62</v>
      </c>
      <c r="H7" s="11" t="s">
        <v>63</v>
      </c>
      <c r="I7" s="17">
        <v>18000</v>
      </c>
      <c r="J7" s="17">
        <v>18000</v>
      </c>
      <c r="K7" s="11" t="s">
        <v>64</v>
      </c>
      <c r="M7" s="13">
        <v>45107</v>
      </c>
      <c r="N7" s="13">
        <v>45291</v>
      </c>
      <c r="O7" s="11">
        <f t="shared" si="0"/>
        <v>6</v>
      </c>
      <c r="P7" s="18"/>
      <c r="Q7" s="11" t="s">
        <v>37</v>
      </c>
      <c r="S7" s="11" t="s">
        <v>38</v>
      </c>
      <c r="T7" s="11" t="s">
        <v>65</v>
      </c>
      <c r="U7" s="11" t="s">
        <v>29</v>
      </c>
      <c r="W7" s="13"/>
    </row>
    <row r="8" spans="1:1029" ht="16" x14ac:dyDescent="0.2">
      <c r="A8" s="11" t="s">
        <v>32</v>
      </c>
      <c r="B8" s="11" t="s">
        <v>66</v>
      </c>
      <c r="C8" s="7" t="s">
        <v>67</v>
      </c>
      <c r="G8" s="11" t="s">
        <v>68</v>
      </c>
      <c r="H8" s="11" t="s">
        <v>69</v>
      </c>
      <c r="I8" s="17">
        <v>87120</v>
      </c>
      <c r="J8" s="17">
        <v>87120</v>
      </c>
      <c r="K8" s="11" t="s">
        <v>70</v>
      </c>
      <c r="M8" s="13">
        <v>45006</v>
      </c>
      <c r="N8" s="13">
        <v>45443</v>
      </c>
      <c r="O8" s="11">
        <f t="shared" si="0"/>
        <v>14</v>
      </c>
      <c r="Q8" s="11" t="s">
        <v>37</v>
      </c>
      <c r="S8" s="11" t="s">
        <v>38</v>
      </c>
      <c r="T8" s="11" t="s">
        <v>39</v>
      </c>
      <c r="U8" s="11" t="s">
        <v>29</v>
      </c>
      <c r="V8" s="19"/>
    </row>
    <row r="9" spans="1:1029" ht="16" x14ac:dyDescent="0.2">
      <c r="A9" s="11" t="s">
        <v>32</v>
      </c>
      <c r="B9" s="11" t="s">
        <v>71</v>
      </c>
      <c r="C9" s="7" t="s">
        <v>72</v>
      </c>
      <c r="G9" s="11" t="s">
        <v>73</v>
      </c>
      <c r="H9" s="16" t="s">
        <v>74</v>
      </c>
      <c r="I9" s="17">
        <v>15730</v>
      </c>
      <c r="J9" s="17">
        <v>15730</v>
      </c>
      <c r="K9" s="11" t="s">
        <v>75</v>
      </c>
      <c r="M9" s="13">
        <v>44986</v>
      </c>
      <c r="N9" s="13">
        <v>45169</v>
      </c>
      <c r="O9" s="11">
        <f t="shared" si="0"/>
        <v>6</v>
      </c>
      <c r="Q9" s="11" t="s">
        <v>37</v>
      </c>
      <c r="S9" s="11" t="s">
        <v>38</v>
      </c>
      <c r="T9" s="11" t="s">
        <v>76</v>
      </c>
      <c r="U9" s="11" t="s">
        <v>29</v>
      </c>
      <c r="V9" s="20"/>
    </row>
    <row r="10" spans="1:1029" ht="166" x14ac:dyDescent="0.2">
      <c r="A10" s="11" t="s">
        <v>23</v>
      </c>
      <c r="B10" s="11" t="s">
        <v>77</v>
      </c>
      <c r="C10" s="7" t="s">
        <v>78</v>
      </c>
      <c r="F10" s="11" t="s">
        <v>79</v>
      </c>
      <c r="G10" s="11" t="s">
        <v>80</v>
      </c>
      <c r="H10" s="16" t="s">
        <v>81</v>
      </c>
      <c r="I10" s="17">
        <v>241231.5</v>
      </c>
      <c r="J10" s="17">
        <v>241231.5</v>
      </c>
      <c r="K10" s="21" t="s">
        <v>82</v>
      </c>
      <c r="L10" s="21"/>
      <c r="M10" s="13">
        <v>44896</v>
      </c>
      <c r="N10" s="13">
        <v>45626</v>
      </c>
      <c r="O10" s="11">
        <f t="shared" si="0"/>
        <v>24</v>
      </c>
      <c r="Q10" s="11" t="s">
        <v>37</v>
      </c>
      <c r="S10" s="11" t="s">
        <v>38</v>
      </c>
      <c r="T10" s="11" t="s">
        <v>83</v>
      </c>
      <c r="U10" s="11" t="s">
        <v>29</v>
      </c>
      <c r="V10" s="20" t="s">
        <v>84</v>
      </c>
    </row>
    <row r="11" spans="1:1029" ht="61" x14ac:dyDescent="0.2">
      <c r="A11" s="11" t="s">
        <v>32</v>
      </c>
      <c r="B11" s="11" t="s">
        <v>85</v>
      </c>
      <c r="C11" s="7" t="s">
        <v>86</v>
      </c>
      <c r="G11" s="11" t="s">
        <v>87</v>
      </c>
      <c r="H11" s="11" t="s">
        <v>88</v>
      </c>
      <c r="I11" s="17">
        <v>60000</v>
      </c>
      <c r="J11" s="17">
        <v>60000</v>
      </c>
      <c r="K11" s="22" t="s">
        <v>89</v>
      </c>
      <c r="L11" s="22"/>
      <c r="M11" s="13">
        <v>44743</v>
      </c>
      <c r="N11" s="13">
        <v>44985</v>
      </c>
      <c r="O11" s="11">
        <f t="shared" si="0"/>
        <v>8</v>
      </c>
      <c r="P11" s="18"/>
      <c r="Q11" s="11" t="s">
        <v>37</v>
      </c>
      <c r="S11" s="11" t="s">
        <v>38</v>
      </c>
      <c r="U11" s="11" t="s">
        <v>29</v>
      </c>
      <c r="V11" s="20"/>
    </row>
    <row r="12" spans="1:1029" ht="15" customHeight="1" x14ac:dyDescent="0.2">
      <c r="A12" s="11" t="s">
        <v>32</v>
      </c>
      <c r="B12" s="11" t="s">
        <v>90</v>
      </c>
      <c r="C12" s="7" t="s">
        <v>91</v>
      </c>
      <c r="G12" s="11" t="s">
        <v>92</v>
      </c>
      <c r="H12" s="11" t="s">
        <v>93</v>
      </c>
      <c r="I12" s="17">
        <v>28800</v>
      </c>
      <c r="J12" s="17">
        <v>28800</v>
      </c>
      <c r="K12" s="11" t="s">
        <v>94</v>
      </c>
      <c r="M12" s="13">
        <v>44663</v>
      </c>
      <c r="N12" s="13">
        <v>44985</v>
      </c>
      <c r="O12" s="11">
        <f t="shared" si="0"/>
        <v>10</v>
      </c>
      <c r="P12" s="18"/>
      <c r="Q12" s="11" t="s">
        <v>37</v>
      </c>
      <c r="S12" s="11" t="s">
        <v>38</v>
      </c>
      <c r="U12" s="11" t="s">
        <v>29</v>
      </c>
      <c r="V12" s="20"/>
    </row>
    <row r="13" spans="1:1029" ht="91" x14ac:dyDescent="0.2">
      <c r="A13" s="11" t="s">
        <v>23</v>
      </c>
      <c r="B13" s="11" t="s">
        <v>95</v>
      </c>
      <c r="C13" s="7" t="s">
        <v>95</v>
      </c>
      <c r="F13" s="11">
        <v>22117</v>
      </c>
      <c r="H13" s="11" t="s">
        <v>96</v>
      </c>
      <c r="I13" s="17">
        <v>64878</v>
      </c>
      <c r="J13" s="17">
        <v>64878</v>
      </c>
      <c r="K13" s="22" t="s">
        <v>97</v>
      </c>
      <c r="L13" s="22"/>
      <c r="M13" s="13">
        <v>44562</v>
      </c>
      <c r="N13" s="13">
        <v>44926</v>
      </c>
      <c r="O13" s="11">
        <f t="shared" si="0"/>
        <v>12</v>
      </c>
      <c r="P13" s="18"/>
      <c r="Q13" s="11" t="s">
        <v>28</v>
      </c>
      <c r="R13" s="11">
        <v>9924562</v>
      </c>
      <c r="S13" s="11" t="s">
        <v>38</v>
      </c>
      <c r="T13" s="11" t="s">
        <v>98</v>
      </c>
      <c r="U13" s="11" t="s">
        <v>29</v>
      </c>
      <c r="V13" s="20"/>
      <c r="W13" s="11" t="s">
        <v>99</v>
      </c>
    </row>
    <row r="14" spans="1:1029" ht="76" x14ac:dyDescent="0.2">
      <c r="A14" s="11" t="s">
        <v>23</v>
      </c>
      <c r="B14" s="11" t="s">
        <v>100</v>
      </c>
      <c r="C14" s="7" t="s">
        <v>100</v>
      </c>
      <c r="E14" s="11" t="s">
        <v>101</v>
      </c>
      <c r="F14" s="11" t="s">
        <v>102</v>
      </c>
      <c r="H14" s="20" t="s">
        <v>103</v>
      </c>
      <c r="I14" s="17">
        <v>241232</v>
      </c>
      <c r="J14" s="17">
        <v>241232</v>
      </c>
      <c r="K14" s="22" t="s">
        <v>104</v>
      </c>
      <c r="L14" s="22"/>
      <c r="M14" s="13">
        <v>44075</v>
      </c>
      <c r="N14" s="13">
        <v>44985</v>
      </c>
      <c r="O14" s="11">
        <f t="shared" si="0"/>
        <v>30</v>
      </c>
      <c r="P14" s="18" t="s">
        <v>249</v>
      </c>
      <c r="Q14" s="11" t="s">
        <v>28</v>
      </c>
      <c r="R14" s="11">
        <v>9283997</v>
      </c>
      <c r="S14" s="11" t="s">
        <v>38</v>
      </c>
      <c r="T14" s="11" t="s">
        <v>98</v>
      </c>
      <c r="U14" s="11" t="s">
        <v>29</v>
      </c>
      <c r="W14" s="11" t="s">
        <v>105</v>
      </c>
    </row>
    <row r="15" spans="1:1029" ht="16" x14ac:dyDescent="0.2">
      <c r="A15" s="11" t="s">
        <v>23</v>
      </c>
      <c r="B15" s="11" t="s">
        <v>106</v>
      </c>
      <c r="C15" s="7" t="s">
        <v>106</v>
      </c>
      <c r="F15" s="11" t="s">
        <v>107</v>
      </c>
      <c r="G15" s="11" t="s">
        <v>108</v>
      </c>
      <c r="H15" s="11" t="s">
        <v>109</v>
      </c>
      <c r="I15" s="17">
        <v>55462.71</v>
      </c>
      <c r="J15" s="17">
        <v>55462.71</v>
      </c>
      <c r="K15" s="11" t="s">
        <v>36</v>
      </c>
      <c r="M15" s="13">
        <v>43862</v>
      </c>
      <c r="N15" s="13">
        <v>44195</v>
      </c>
      <c r="O15" s="11">
        <f t="shared" si="0"/>
        <v>10</v>
      </c>
      <c r="Q15" s="11" t="s">
        <v>110</v>
      </c>
      <c r="S15" s="11" t="s">
        <v>38</v>
      </c>
      <c r="U15" s="11" t="s">
        <v>29</v>
      </c>
      <c r="V15" s="11" t="s">
        <v>111</v>
      </c>
    </row>
    <row r="16" spans="1:1029" ht="16" x14ac:dyDescent="0.2">
      <c r="A16" s="11" t="s">
        <v>23</v>
      </c>
      <c r="B16" s="11" t="s">
        <v>112</v>
      </c>
      <c r="C16" s="7" t="s">
        <v>112</v>
      </c>
      <c r="F16" s="11">
        <v>20228</v>
      </c>
      <c r="H16" s="11" t="s">
        <v>96</v>
      </c>
      <c r="I16" s="17">
        <v>83709</v>
      </c>
      <c r="J16" s="17">
        <v>83709</v>
      </c>
      <c r="K16" s="11" t="s">
        <v>113</v>
      </c>
      <c r="M16" s="13">
        <v>43831</v>
      </c>
      <c r="N16" s="13">
        <v>44196</v>
      </c>
      <c r="O16" s="11">
        <f t="shared" si="0"/>
        <v>12</v>
      </c>
      <c r="P16" s="13">
        <v>44117</v>
      </c>
      <c r="Q16" s="11" t="s">
        <v>28</v>
      </c>
      <c r="R16" s="11">
        <v>9284128</v>
      </c>
      <c r="S16" s="11" t="s">
        <v>38</v>
      </c>
      <c r="T16" s="11" t="s">
        <v>98</v>
      </c>
      <c r="U16" s="11" t="s">
        <v>29</v>
      </c>
      <c r="W16" s="11" t="s">
        <v>99</v>
      </c>
    </row>
    <row r="17" spans="1:22" ht="30" x14ac:dyDescent="0.2">
      <c r="A17" s="11" t="s">
        <v>23</v>
      </c>
      <c r="B17" s="23" t="s">
        <v>114</v>
      </c>
      <c r="C17" s="7" t="s">
        <v>115</v>
      </c>
      <c r="D17" s="23"/>
      <c r="E17" s="23"/>
      <c r="F17" s="24"/>
      <c r="H17" s="16" t="s">
        <v>116</v>
      </c>
      <c r="I17" s="17">
        <v>872017</v>
      </c>
      <c r="M17" s="13">
        <v>45748</v>
      </c>
      <c r="N17" s="13">
        <v>46203</v>
      </c>
      <c r="O17" s="11">
        <f t="shared" si="0"/>
        <v>15</v>
      </c>
      <c r="P17" s="18"/>
      <c r="Q17" s="11" t="s">
        <v>37</v>
      </c>
      <c r="S17" s="11" t="s">
        <v>38</v>
      </c>
      <c r="U17" s="11" t="s">
        <v>38</v>
      </c>
    </row>
    <row r="18" spans="1:22" ht="16" x14ac:dyDescent="0.2">
      <c r="A18" s="11" t="s">
        <v>23</v>
      </c>
      <c r="B18" s="11" t="s">
        <v>117</v>
      </c>
      <c r="C18" s="7" t="s">
        <v>117</v>
      </c>
      <c r="E18" s="25" t="s">
        <v>118</v>
      </c>
      <c r="H18" s="11" t="s">
        <v>103</v>
      </c>
      <c r="I18" s="17">
        <v>88066</v>
      </c>
      <c r="J18" s="26">
        <v>88066</v>
      </c>
      <c r="M18" s="13">
        <v>45717</v>
      </c>
      <c r="N18" s="13">
        <v>46446</v>
      </c>
      <c r="O18" s="11">
        <f t="shared" si="0"/>
        <v>24</v>
      </c>
      <c r="P18" s="18"/>
      <c r="Q18" s="11" t="s">
        <v>28</v>
      </c>
      <c r="S18" s="11" t="s">
        <v>38</v>
      </c>
      <c r="T18" s="11" t="s">
        <v>119</v>
      </c>
      <c r="U18" s="11" t="s">
        <v>38</v>
      </c>
    </row>
    <row r="19" spans="1:22" ht="16" x14ac:dyDescent="0.2">
      <c r="A19" s="11" t="s">
        <v>23</v>
      </c>
      <c r="B19" s="11" t="s">
        <v>120</v>
      </c>
      <c r="C19" s="7" t="s">
        <v>121</v>
      </c>
      <c r="H19" s="11" t="s">
        <v>122</v>
      </c>
      <c r="I19" s="26">
        <v>30000</v>
      </c>
      <c r="J19" s="26">
        <v>30000</v>
      </c>
      <c r="M19" s="13">
        <v>45662</v>
      </c>
      <c r="N19" s="13">
        <v>46418</v>
      </c>
      <c r="O19" s="11">
        <f t="shared" si="0"/>
        <v>24</v>
      </c>
      <c r="Q19" s="11" t="s">
        <v>123</v>
      </c>
      <c r="S19" s="11" t="s">
        <v>38</v>
      </c>
      <c r="T19" s="11" t="s">
        <v>65</v>
      </c>
      <c r="U19" s="11" t="s">
        <v>38</v>
      </c>
      <c r="V19" s="11" t="s">
        <v>124</v>
      </c>
    </row>
    <row r="20" spans="1:22" ht="16" x14ac:dyDescent="0.2">
      <c r="A20" s="11" t="s">
        <v>23</v>
      </c>
      <c r="B20" s="11" t="s">
        <v>125</v>
      </c>
      <c r="C20" s="7" t="s">
        <v>126</v>
      </c>
      <c r="E20" s="25" t="s">
        <v>127</v>
      </c>
      <c r="F20" s="24"/>
      <c r="H20" s="11" t="s">
        <v>109</v>
      </c>
      <c r="I20" s="17">
        <v>142220</v>
      </c>
      <c r="J20" s="17">
        <v>142220</v>
      </c>
      <c r="M20" s="13">
        <v>45658</v>
      </c>
      <c r="N20" s="13">
        <v>47118</v>
      </c>
      <c r="O20" s="11">
        <f t="shared" si="0"/>
        <v>48</v>
      </c>
      <c r="Q20" s="11" t="s">
        <v>110</v>
      </c>
      <c r="S20" s="11" t="s">
        <v>38</v>
      </c>
      <c r="T20" s="11" t="s">
        <v>119</v>
      </c>
      <c r="U20" s="11" t="s">
        <v>38</v>
      </c>
    </row>
    <row r="21" spans="1:22" ht="16" x14ac:dyDescent="0.2">
      <c r="A21" s="11" t="s">
        <v>23</v>
      </c>
      <c r="B21" s="11" t="s">
        <v>128</v>
      </c>
      <c r="C21" s="7" t="s">
        <v>128</v>
      </c>
      <c r="E21" s="25" t="s">
        <v>129</v>
      </c>
      <c r="H21" s="11" t="s">
        <v>130</v>
      </c>
      <c r="I21" s="17">
        <v>71740</v>
      </c>
      <c r="J21" s="17">
        <v>71740</v>
      </c>
      <c r="M21" s="13">
        <v>45536</v>
      </c>
      <c r="N21" s="13">
        <v>46326</v>
      </c>
      <c r="O21" s="11">
        <f t="shared" si="0"/>
        <v>26</v>
      </c>
      <c r="Q21" s="11" t="s">
        <v>28</v>
      </c>
      <c r="S21" s="11" t="s">
        <v>38</v>
      </c>
      <c r="T21" s="11" t="s">
        <v>131</v>
      </c>
      <c r="U21" s="11" t="s">
        <v>38</v>
      </c>
      <c r="V21" s="11" t="s">
        <v>132</v>
      </c>
    </row>
    <row r="22" spans="1:22" ht="16" x14ac:dyDescent="0.2">
      <c r="A22" s="11" t="s">
        <v>23</v>
      </c>
      <c r="B22" s="11" t="s">
        <v>133</v>
      </c>
      <c r="C22" s="7" t="s">
        <v>134</v>
      </c>
      <c r="H22" s="11" t="s">
        <v>36</v>
      </c>
      <c r="I22" s="17">
        <v>4000</v>
      </c>
      <c r="J22" s="17">
        <v>4000</v>
      </c>
      <c r="M22" s="13">
        <v>45436</v>
      </c>
      <c r="N22" s="13">
        <v>45800</v>
      </c>
      <c r="O22" s="11">
        <f t="shared" si="0"/>
        <v>12</v>
      </c>
      <c r="Q22" s="11" t="s">
        <v>110</v>
      </c>
      <c r="S22" s="11" t="s">
        <v>29</v>
      </c>
      <c r="T22" s="11" t="s">
        <v>135</v>
      </c>
      <c r="U22" s="11" t="s">
        <v>29</v>
      </c>
      <c r="V22" s="11" t="s">
        <v>136</v>
      </c>
    </row>
    <row r="23" spans="1:22" ht="16" x14ac:dyDescent="0.2">
      <c r="A23" s="11" t="s">
        <v>32</v>
      </c>
      <c r="B23" s="11" t="s">
        <v>137</v>
      </c>
      <c r="C23" s="7" t="s">
        <v>138</v>
      </c>
      <c r="H23" s="11" t="s">
        <v>139</v>
      </c>
      <c r="I23" s="17">
        <v>75000</v>
      </c>
      <c r="J23" s="17">
        <v>75000</v>
      </c>
      <c r="M23" s="13">
        <v>46023</v>
      </c>
      <c r="N23" s="13">
        <v>46387</v>
      </c>
      <c r="O23" s="11">
        <f t="shared" si="0"/>
        <v>12</v>
      </c>
      <c r="Q23" s="11" t="s">
        <v>37</v>
      </c>
      <c r="S23" s="11" t="s">
        <v>38</v>
      </c>
      <c r="T23" s="11" t="s">
        <v>39</v>
      </c>
      <c r="U23" s="11" t="s">
        <v>29</v>
      </c>
    </row>
    <row r="24" spans="1:22" ht="16" x14ac:dyDescent="0.2">
      <c r="A24" s="11" t="s">
        <v>32</v>
      </c>
      <c r="B24" s="27" t="s">
        <v>140</v>
      </c>
      <c r="C24" s="7" t="s">
        <v>141</v>
      </c>
      <c r="D24" s="27"/>
      <c r="E24" s="27"/>
      <c r="H24" s="11" t="s">
        <v>142</v>
      </c>
      <c r="I24" s="26">
        <v>90750</v>
      </c>
      <c r="J24" s="26">
        <v>90750</v>
      </c>
      <c r="M24" s="13">
        <v>45962</v>
      </c>
      <c r="N24" s="13">
        <v>46325</v>
      </c>
      <c r="O24" s="11">
        <f t="shared" si="0"/>
        <v>11</v>
      </c>
      <c r="Q24" s="11" t="s">
        <v>37</v>
      </c>
      <c r="S24" s="11" t="s">
        <v>29</v>
      </c>
      <c r="T24" s="11" t="s">
        <v>39</v>
      </c>
      <c r="U24" s="11" t="s">
        <v>29</v>
      </c>
    </row>
    <row r="25" spans="1:22" ht="16" x14ac:dyDescent="0.2">
      <c r="A25" s="11" t="s">
        <v>23</v>
      </c>
      <c r="B25" s="11" t="s">
        <v>143</v>
      </c>
      <c r="C25" s="7" t="s">
        <v>144</v>
      </c>
      <c r="E25" s="25" t="s">
        <v>145</v>
      </c>
      <c r="H25" s="11" t="s">
        <v>146</v>
      </c>
      <c r="I25" s="26">
        <v>40000</v>
      </c>
      <c r="J25" s="26">
        <v>40000</v>
      </c>
      <c r="M25" s="13">
        <v>45643</v>
      </c>
      <c r="N25" s="13">
        <v>46007</v>
      </c>
      <c r="O25" s="11">
        <f t="shared" si="0"/>
        <v>12</v>
      </c>
      <c r="Q25" s="11" t="s">
        <v>37</v>
      </c>
      <c r="S25" s="11" t="s">
        <v>29</v>
      </c>
      <c r="T25" s="11" t="s">
        <v>135</v>
      </c>
      <c r="U25" s="11" t="s">
        <v>29</v>
      </c>
      <c r="V25" s="11" t="s">
        <v>147</v>
      </c>
    </row>
    <row r="26" spans="1:22" ht="16" x14ac:dyDescent="0.2">
      <c r="A26" s="11" t="s">
        <v>32</v>
      </c>
      <c r="B26" s="27" t="s">
        <v>148</v>
      </c>
      <c r="C26" s="7" t="s">
        <v>149</v>
      </c>
      <c r="D26" s="27"/>
      <c r="E26" s="27"/>
      <c r="H26" s="11" t="s">
        <v>150</v>
      </c>
      <c r="I26" s="17">
        <v>37510</v>
      </c>
      <c r="J26" s="17">
        <v>37510</v>
      </c>
      <c r="M26" s="13">
        <v>45359</v>
      </c>
      <c r="N26" s="13">
        <v>45838</v>
      </c>
      <c r="O26" s="11">
        <f>DATEDIF(M26,N26+1, "M")</f>
        <v>15</v>
      </c>
      <c r="Q26" s="11" t="s">
        <v>37</v>
      </c>
      <c r="S26" s="11" t="s">
        <v>38</v>
      </c>
      <c r="T26" s="11" t="s">
        <v>39</v>
      </c>
      <c r="U26" s="11" t="s">
        <v>29</v>
      </c>
    </row>
    <row r="27" spans="1:22" ht="31" x14ac:dyDescent="0.2">
      <c r="A27" s="11" t="s">
        <v>151</v>
      </c>
      <c r="B27" s="11" t="s">
        <v>152</v>
      </c>
      <c r="C27" s="7" t="s">
        <v>152</v>
      </c>
      <c r="D27" s="22" t="s">
        <v>153</v>
      </c>
      <c r="E27" s="11" t="s">
        <v>154</v>
      </c>
      <c r="O27" s="11">
        <f t="shared" ref="O27:O43" si="1">DATEDIF(M27,N27+1, "M")</f>
        <v>0</v>
      </c>
    </row>
    <row r="28" spans="1:22" ht="31" x14ac:dyDescent="0.2">
      <c r="A28" s="11" t="s">
        <v>151</v>
      </c>
      <c r="B28" s="11" t="s">
        <v>155</v>
      </c>
      <c r="C28" s="7" t="s">
        <v>155</v>
      </c>
      <c r="D28" s="22" t="s">
        <v>156</v>
      </c>
      <c r="E28" s="25" t="s">
        <v>157</v>
      </c>
      <c r="O28" s="11">
        <f t="shared" si="1"/>
        <v>0</v>
      </c>
    </row>
    <row r="29" spans="1:22" ht="16" x14ac:dyDescent="0.2">
      <c r="A29" s="11" t="s">
        <v>151</v>
      </c>
      <c r="B29" s="11" t="s">
        <v>158</v>
      </c>
      <c r="C29" s="7" t="s">
        <v>158</v>
      </c>
      <c r="D29" s="11" t="s">
        <v>159</v>
      </c>
      <c r="E29" s="25" t="s">
        <v>160</v>
      </c>
      <c r="O29" s="11">
        <f t="shared" si="1"/>
        <v>0</v>
      </c>
    </row>
    <row r="30" spans="1:22" ht="16" x14ac:dyDescent="0.2">
      <c r="A30" s="11" t="s">
        <v>151</v>
      </c>
      <c r="B30" s="11" t="s">
        <v>161</v>
      </c>
      <c r="C30" s="7" t="s">
        <v>161</v>
      </c>
      <c r="D30" t="s">
        <v>162</v>
      </c>
      <c r="E30" s="25" t="s">
        <v>163</v>
      </c>
      <c r="O30" s="11">
        <f t="shared" si="1"/>
        <v>0</v>
      </c>
    </row>
    <row r="31" spans="1:22" ht="16" x14ac:dyDescent="0.2">
      <c r="A31" s="11" t="s">
        <v>151</v>
      </c>
      <c r="B31" s="11" t="s">
        <v>164</v>
      </c>
      <c r="C31" s="7" t="s">
        <v>164</v>
      </c>
      <c r="D31" s="11" t="s">
        <v>165</v>
      </c>
      <c r="E31" s="25" t="s">
        <v>166</v>
      </c>
      <c r="O31" s="11">
        <f t="shared" si="1"/>
        <v>0</v>
      </c>
    </row>
    <row r="32" spans="1:22" ht="16" x14ac:dyDescent="0.2">
      <c r="A32" s="11" t="s">
        <v>151</v>
      </c>
      <c r="B32" s="11" t="s">
        <v>167</v>
      </c>
      <c r="C32" s="7" t="s">
        <v>167</v>
      </c>
      <c r="D32" s="11" t="s">
        <v>168</v>
      </c>
      <c r="E32" s="25" t="s">
        <v>169</v>
      </c>
      <c r="O32" s="11">
        <f t="shared" si="1"/>
        <v>0</v>
      </c>
    </row>
    <row r="33" spans="1:22" ht="16" x14ac:dyDescent="0.2">
      <c r="A33" s="11" t="s">
        <v>151</v>
      </c>
      <c r="B33" s="11" t="s">
        <v>170</v>
      </c>
      <c r="C33" s="7" t="s">
        <v>170</v>
      </c>
      <c r="D33" s="11" t="s">
        <v>171</v>
      </c>
      <c r="O33" s="11">
        <f t="shared" si="1"/>
        <v>0</v>
      </c>
    </row>
    <row r="34" spans="1:22" ht="16" x14ac:dyDescent="0.2">
      <c r="A34" s="11" t="s">
        <v>151</v>
      </c>
      <c r="B34" s="11" t="s">
        <v>172</v>
      </c>
      <c r="C34" s="7" t="s">
        <v>173</v>
      </c>
      <c r="D34" s="11" t="s">
        <v>174</v>
      </c>
      <c r="O34" s="11">
        <f t="shared" si="1"/>
        <v>0</v>
      </c>
    </row>
    <row r="35" spans="1:22" ht="16" x14ac:dyDescent="0.2">
      <c r="A35" s="11" t="s">
        <v>151</v>
      </c>
      <c r="B35" s="11" t="s">
        <v>175</v>
      </c>
      <c r="C35" s="7" t="s">
        <v>176</v>
      </c>
      <c r="D35" s="11" t="s">
        <v>177</v>
      </c>
      <c r="O35" s="11">
        <f t="shared" si="1"/>
        <v>0</v>
      </c>
    </row>
    <row r="36" spans="1:22" ht="16" x14ac:dyDescent="0.2">
      <c r="A36" s="11" t="s">
        <v>151</v>
      </c>
      <c r="B36" s="11" t="s">
        <v>178</v>
      </c>
      <c r="C36" s="7" t="s">
        <v>178</v>
      </c>
      <c r="D36" s="11" t="s">
        <v>179</v>
      </c>
      <c r="E36" s="25" t="s">
        <v>180</v>
      </c>
      <c r="O36" s="11">
        <f t="shared" si="1"/>
        <v>0</v>
      </c>
    </row>
    <row r="37" spans="1:22" ht="16" x14ac:dyDescent="0.2">
      <c r="A37" s="11" t="s">
        <v>151</v>
      </c>
      <c r="B37" s="11" t="s">
        <v>181</v>
      </c>
      <c r="C37" s="7" t="s">
        <v>182</v>
      </c>
      <c r="D37" s="11" t="s">
        <v>183</v>
      </c>
      <c r="E37" s="11" t="s">
        <v>184</v>
      </c>
      <c r="O37" s="11">
        <f t="shared" si="1"/>
        <v>0</v>
      </c>
    </row>
    <row r="38" spans="1:22" ht="16" x14ac:dyDescent="0.2">
      <c r="A38" s="11" t="s">
        <v>151</v>
      </c>
      <c r="B38" s="11" t="s">
        <v>185</v>
      </c>
      <c r="C38" s="7" t="s">
        <v>185</v>
      </c>
      <c r="D38" s="11" t="s">
        <v>186</v>
      </c>
      <c r="E38" s="25" t="s">
        <v>187</v>
      </c>
      <c r="O38" s="11">
        <f t="shared" si="1"/>
        <v>0</v>
      </c>
    </row>
    <row r="39" spans="1:22" ht="16" x14ac:dyDescent="0.2">
      <c r="A39" s="11" t="s">
        <v>151</v>
      </c>
      <c r="B39" s="11" t="s">
        <v>188</v>
      </c>
      <c r="C39" s="7" t="s">
        <v>188</v>
      </c>
      <c r="D39" s="11" t="s">
        <v>189</v>
      </c>
      <c r="E39" s="25" t="s">
        <v>190</v>
      </c>
      <c r="O39" s="11">
        <f t="shared" si="1"/>
        <v>0</v>
      </c>
    </row>
    <row r="40" spans="1:22" x14ac:dyDescent="0.2">
      <c r="A40" s="11" t="s">
        <v>151</v>
      </c>
      <c r="B40" s="11" t="s">
        <v>191</v>
      </c>
      <c r="C40" s="11" t="s">
        <v>191</v>
      </c>
      <c r="D40" s="11" t="s">
        <v>192</v>
      </c>
      <c r="O40" s="11">
        <f t="shared" si="1"/>
        <v>0</v>
      </c>
    </row>
    <row r="41" spans="1:22" x14ac:dyDescent="0.2">
      <c r="A41" s="11" t="s">
        <v>151</v>
      </c>
      <c r="B41" s="11" t="s">
        <v>193</v>
      </c>
      <c r="C41" s="11" t="s">
        <v>193</v>
      </c>
      <c r="D41" s="11" t="s">
        <v>194</v>
      </c>
      <c r="E41" s="11" t="s">
        <v>195</v>
      </c>
      <c r="O41" s="11">
        <f t="shared" si="1"/>
        <v>0</v>
      </c>
    </row>
    <row r="42" spans="1:22" x14ac:dyDescent="0.2">
      <c r="A42" s="11" t="s">
        <v>151</v>
      </c>
      <c r="B42" s="11" t="s">
        <v>196</v>
      </c>
      <c r="C42" s="11" t="s">
        <v>196</v>
      </c>
      <c r="D42" s="11" t="s">
        <v>197</v>
      </c>
      <c r="E42" s="11" t="s">
        <v>198</v>
      </c>
      <c r="O42" s="11">
        <f t="shared" si="1"/>
        <v>0</v>
      </c>
    </row>
    <row r="43" spans="1:22" x14ac:dyDescent="0.2">
      <c r="A43" s="11" t="s">
        <v>32</v>
      </c>
      <c r="B43" s="28" t="s">
        <v>199</v>
      </c>
      <c r="C43" s="28" t="s">
        <v>199</v>
      </c>
      <c r="H43" s="11" t="s">
        <v>200</v>
      </c>
      <c r="I43" s="17">
        <v>6000</v>
      </c>
      <c r="J43" s="17">
        <v>6000</v>
      </c>
      <c r="M43" s="13">
        <v>45566</v>
      </c>
      <c r="N43" s="13">
        <v>46296</v>
      </c>
      <c r="O43" s="11">
        <f t="shared" si="1"/>
        <v>24</v>
      </c>
      <c r="Q43" s="11" t="s">
        <v>123</v>
      </c>
      <c r="S43" s="11" t="s">
        <v>29</v>
      </c>
      <c r="T43" s="11" t="s">
        <v>135</v>
      </c>
      <c r="U43" s="11" t="s">
        <v>38</v>
      </c>
      <c r="V43" s="11" t="s">
        <v>201</v>
      </c>
    </row>
    <row r="44" spans="1:22" ht="16" x14ac:dyDescent="0.2">
      <c r="A44" s="11" t="s">
        <v>202</v>
      </c>
      <c r="B44" s="7" t="s">
        <v>203</v>
      </c>
      <c r="C44" s="7" t="s">
        <v>204</v>
      </c>
      <c r="H44" s="7" t="s">
        <v>205</v>
      </c>
      <c r="L44" s="7" t="s">
        <v>206</v>
      </c>
    </row>
    <row r="45" spans="1:22" ht="16" x14ac:dyDescent="0.2">
      <c r="A45" s="11" t="s">
        <v>202</v>
      </c>
      <c r="B45" s="7" t="s">
        <v>207</v>
      </c>
      <c r="C45" s="7" t="s">
        <v>208</v>
      </c>
      <c r="H45" s="7" t="s">
        <v>209</v>
      </c>
      <c r="L45" s="7" t="s">
        <v>210</v>
      </c>
    </row>
    <row r="46" spans="1:22" ht="16" x14ac:dyDescent="0.2">
      <c r="A46" s="11" t="s">
        <v>202</v>
      </c>
      <c r="B46" s="7" t="s">
        <v>211</v>
      </c>
      <c r="C46" s="7" t="s">
        <v>212</v>
      </c>
      <c r="H46" s="7" t="s">
        <v>213</v>
      </c>
      <c r="L46" s="7" t="s">
        <v>214</v>
      </c>
    </row>
    <row r="47" spans="1:22" ht="16" x14ac:dyDescent="0.2">
      <c r="A47" s="11" t="s">
        <v>202</v>
      </c>
      <c r="B47" s="7" t="s">
        <v>215</v>
      </c>
      <c r="C47" s="7" t="s">
        <v>216</v>
      </c>
      <c r="H47" s="7" t="s">
        <v>217</v>
      </c>
      <c r="L47" s="7">
        <v>2021</v>
      </c>
      <c r="M47" s="6"/>
    </row>
    <row r="48" spans="1:22" ht="16" x14ac:dyDescent="0.2">
      <c r="A48" s="11" t="s">
        <v>202</v>
      </c>
      <c r="B48" s="27" t="s">
        <v>218</v>
      </c>
      <c r="C48" s="7" t="s">
        <v>219</v>
      </c>
      <c r="H48" s="7" t="s">
        <v>220</v>
      </c>
      <c r="L48" s="7" t="s">
        <v>221</v>
      </c>
      <c r="M48" s="6"/>
    </row>
    <row r="49" spans="1:23" ht="16" x14ac:dyDescent="0.2">
      <c r="A49" s="11" t="s">
        <v>202</v>
      </c>
      <c r="B49" s="7" t="s">
        <v>222</v>
      </c>
      <c r="C49" s="7" t="s">
        <v>223</v>
      </c>
      <c r="H49" s="7" t="s">
        <v>224</v>
      </c>
      <c r="L49" s="7" t="s">
        <v>225</v>
      </c>
      <c r="M49" s="6"/>
    </row>
    <row r="50" spans="1:23" ht="91" x14ac:dyDescent="0.2">
      <c r="A50" s="11" t="s">
        <v>23</v>
      </c>
      <c r="B50" s="11" t="s">
        <v>226</v>
      </c>
      <c r="C50" s="7" t="s">
        <v>226</v>
      </c>
      <c r="E50" s="25" t="s">
        <v>227</v>
      </c>
      <c r="F50" s="11">
        <v>101299050</v>
      </c>
      <c r="H50" s="16" t="s">
        <v>103</v>
      </c>
      <c r="I50" s="17">
        <v>312500</v>
      </c>
      <c r="J50" s="17">
        <v>312500</v>
      </c>
      <c r="K50" s="21" t="s">
        <v>228</v>
      </c>
      <c r="L50" s="21" t="s">
        <v>229</v>
      </c>
      <c r="M50" s="13">
        <v>46143</v>
      </c>
      <c r="N50" s="13">
        <v>47238</v>
      </c>
      <c r="O50" s="11">
        <f t="shared" ref="O50:O54" si="2">DATEDIF(M50,N50+1, "M")</f>
        <v>36</v>
      </c>
      <c r="Q50" s="11" t="s">
        <v>28</v>
      </c>
      <c r="S50" s="11" t="s">
        <v>29</v>
      </c>
      <c r="T50" s="11" t="s">
        <v>135</v>
      </c>
      <c r="U50" s="11" t="s">
        <v>38</v>
      </c>
      <c r="V50" s="20" t="s">
        <v>230</v>
      </c>
    </row>
    <row r="51" spans="1:23" x14ac:dyDescent="0.2">
      <c r="A51" s="11" t="s">
        <v>32</v>
      </c>
      <c r="B51" s="11" t="s">
        <v>231</v>
      </c>
      <c r="C51" s="6" t="s">
        <v>232</v>
      </c>
      <c r="H51" s="11" t="s">
        <v>233</v>
      </c>
      <c r="I51" s="17">
        <v>48104</v>
      </c>
      <c r="J51" s="17">
        <v>48104</v>
      </c>
      <c r="K51" s="11" t="s">
        <v>233</v>
      </c>
      <c r="L51" s="11">
        <v>2026</v>
      </c>
      <c r="M51" s="13">
        <v>46113</v>
      </c>
      <c r="N51" s="13">
        <v>46203</v>
      </c>
      <c r="O51" s="11">
        <f t="shared" si="2"/>
        <v>3</v>
      </c>
      <c r="Q51" s="11" t="s">
        <v>37</v>
      </c>
      <c r="S51" s="11" t="s">
        <v>38</v>
      </c>
      <c r="T51" s="11" t="s">
        <v>234</v>
      </c>
    </row>
    <row r="52" spans="1:23" x14ac:dyDescent="0.2">
      <c r="A52" s="11" t="s">
        <v>32</v>
      </c>
      <c r="B52" s="11" t="s">
        <v>235</v>
      </c>
      <c r="C52" s="6" t="s">
        <v>236</v>
      </c>
      <c r="H52" s="11" t="s">
        <v>237</v>
      </c>
      <c r="I52" s="17">
        <v>14816</v>
      </c>
      <c r="J52" s="17">
        <v>14816</v>
      </c>
      <c r="K52" s="11" t="s">
        <v>238</v>
      </c>
      <c r="L52" s="11">
        <v>2026</v>
      </c>
      <c r="M52" s="13">
        <v>46174</v>
      </c>
      <c r="N52" s="13">
        <v>46203</v>
      </c>
      <c r="O52" s="11">
        <f t="shared" si="2"/>
        <v>1</v>
      </c>
      <c r="T52" s="11" t="s">
        <v>234</v>
      </c>
      <c r="U52" s="11" t="s">
        <v>38</v>
      </c>
    </row>
    <row r="53" spans="1:23" ht="16" x14ac:dyDescent="0.2">
      <c r="A53" s="11" t="s">
        <v>23</v>
      </c>
      <c r="B53" s="11" t="s">
        <v>239</v>
      </c>
      <c r="C53" s="7" t="s">
        <v>239</v>
      </c>
      <c r="D53" s="11" t="s">
        <v>240</v>
      </c>
      <c r="E53" s="25" t="s">
        <v>241</v>
      </c>
      <c r="H53" s="16" t="s">
        <v>103</v>
      </c>
      <c r="I53" s="17">
        <v>100000</v>
      </c>
      <c r="J53" s="17">
        <v>100000</v>
      </c>
      <c r="K53" s="21"/>
      <c r="L53" s="21" t="s">
        <v>242</v>
      </c>
      <c r="M53" s="13">
        <v>46174</v>
      </c>
      <c r="N53" s="13">
        <v>46598</v>
      </c>
      <c r="O53" s="11">
        <f t="shared" si="2"/>
        <v>13</v>
      </c>
      <c r="Q53" s="11" t="s">
        <v>28</v>
      </c>
      <c r="S53" s="11" t="s">
        <v>38</v>
      </c>
      <c r="T53" s="11" t="s">
        <v>234</v>
      </c>
      <c r="U53" s="11" t="s">
        <v>38</v>
      </c>
      <c r="V53" s="8" t="s">
        <v>243</v>
      </c>
    </row>
    <row r="54" spans="1:23" x14ac:dyDescent="0.2">
      <c r="A54" s="11" t="s">
        <v>23</v>
      </c>
      <c r="B54" s="11" t="s">
        <v>244</v>
      </c>
      <c r="C54" s="11" t="s">
        <v>245</v>
      </c>
      <c r="H54" s="11" t="s">
        <v>55</v>
      </c>
      <c r="I54" s="17">
        <v>266500</v>
      </c>
      <c r="J54" s="17">
        <v>266500</v>
      </c>
      <c r="K54" s="11" t="s">
        <v>246</v>
      </c>
      <c r="L54" s="11" t="s">
        <v>229</v>
      </c>
      <c r="M54" s="13">
        <v>46266</v>
      </c>
      <c r="N54" s="13">
        <v>47361</v>
      </c>
      <c r="O54" s="11">
        <f t="shared" si="2"/>
        <v>36</v>
      </c>
      <c r="Q54" s="11" t="s">
        <v>37</v>
      </c>
      <c r="S54" s="11" t="s">
        <v>38</v>
      </c>
      <c r="T54" s="11" t="s">
        <v>247</v>
      </c>
      <c r="U54" s="11" t="s">
        <v>38</v>
      </c>
      <c r="V54" s="11" t="s">
        <v>59</v>
      </c>
      <c r="W54" s="11" t="s">
        <v>248</v>
      </c>
    </row>
    <row r="55" spans="1:23" x14ac:dyDescent="0.2">
      <c r="C55" s="6"/>
    </row>
    <row r="56" spans="1:23" x14ac:dyDescent="0.2">
      <c r="C56" s="6"/>
    </row>
  </sheetData>
  <hyperlinks>
    <hyperlink ref="E25" r:id="rId1" xr:uid="{3358F399-3048-BD45-A3ED-9EA3AD2FD0D8}"/>
    <hyperlink ref="E28" r:id="rId2" xr:uid="{D4F4AF13-2197-8C49-B39A-085E3B0DD4E2}"/>
    <hyperlink ref="E38" r:id="rId3" xr:uid="{9199B5C0-64D5-B046-B986-D49C318840D9}"/>
    <hyperlink ref="E30" r:id="rId4" xr:uid="{EF7E848E-7C28-C040-ACF2-572EBED47250}"/>
    <hyperlink ref="E31" r:id="rId5" xr:uid="{99F289B3-A49D-974E-8ADC-A9C8D105C35E}"/>
    <hyperlink ref="E36" r:id="rId6" xr:uid="{66338F2E-B548-8542-967A-5A16B2381422}"/>
    <hyperlink ref="E39" r:id="rId7" xr:uid="{822B422D-7821-9B41-A936-0DB4E0A5AD58}"/>
    <hyperlink ref="E32" r:id="rId8" xr:uid="{CCA6ECE3-3538-854A-917E-D7C3381CC946}"/>
    <hyperlink ref="E29" r:id="rId9" xr:uid="{D3E64F80-3822-6B41-BBCD-75AB034CCE8E}"/>
    <hyperlink ref="E53" r:id="rId10" xr:uid="{746A35B1-CFE4-2D49-9B9F-13F987F29BD0}"/>
    <hyperlink ref="V53" r:id="rId11" display="https://digital-strategy.ec.europa.eu/en/policies/data-spaces" xr:uid="{AFC5428C-45D0-D44F-B904-381FB4D3F97C}"/>
    <hyperlink ref="E50" r:id="rId12" xr:uid="{FCA3CE4E-FE4C-E147-9BA0-97108DC9FF12}"/>
    <hyperlink ref="E2" r:id="rId13" xr:uid="{093FE69B-BF4C-8841-92C1-253FDB3EF124}"/>
    <hyperlink ref="E5" r:id="rId14" xr:uid="{DB2FE6D1-45AC-B64A-A928-A3FED51EDD51}"/>
    <hyperlink ref="E6" r:id="rId15" xr:uid="{9071C264-8397-3542-8D1E-515934D4D262}"/>
    <hyperlink ref="E18" r:id="rId16" xr:uid="{4D928A0F-18CC-F849-AACB-E6A6BC765443}"/>
    <hyperlink ref="E20" r:id="rId17" xr:uid="{C091D5D9-5FB5-D643-93B8-8B84E13CB112}"/>
    <hyperlink ref="E21" r:id="rId18" xr:uid="{AF9A738A-4223-7F4B-AEDD-B09DFD9A31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Conde</dc:creator>
  <cp:lastModifiedBy>Javier Conde</cp:lastModifiedBy>
  <dcterms:created xsi:type="dcterms:W3CDTF">2026-08-05T12:53:12Z</dcterms:created>
  <dcterms:modified xsi:type="dcterms:W3CDTF">2026-08-05T13:39:19Z</dcterms:modified>
</cp:coreProperties>
</file>