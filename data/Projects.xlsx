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94" documentId="8_{1470795A-59F1-784B-99FC-5B46A05E445E}" xr6:coauthVersionLast="47" xr6:coauthVersionMax="47" xr10:uidLastSave="{86512D4C-4542-FE4D-AEE4-4A28C50A0D60}"/>
  <bookViews>
    <workbookView xWindow="0" yWindow="660" windowWidth="30240" windowHeight="1734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2" i="1" l="1"/>
  <c r="O51" i="1"/>
  <c r="O50" i="1"/>
  <c r="O49" i="1"/>
  <c r="O27" i="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<sst xmlns="http://schemas.openxmlformats.org/spreadsheetml/2006/main" count="409" uniqueCount="233">
  <si>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</si>
  <si>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</si>
  <si>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</si>
  <si>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</si>
  <si>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</si>
  <si>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</si>
  <si>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</si>
  <si>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</si>
  <si>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</si>
  <si>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</si>
  <si>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</si>
  <si>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</si>
  <si>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</si>
  <si>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</si>
  <si>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</si>
  <si>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</si>
  <si>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</si>
  <si>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</si>
  <si>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</si>
  <si>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</si>
  <si>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</si>
  <si>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</si>
  <si>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</si>
  <si>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</si>
  <si>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</si>
  <si>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</si>
  <si>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</si>
  <si>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</si>
  <si>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</si>
  <si>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</si>
  <si>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</si>
  <si>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</si>
  <si>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</si>
  <si>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</si>
  <si>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</si>
  <si>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</si>
  <si>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</si>
  <si>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</si>
  <si>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</si>
  <si>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</si>
  <si>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</si>
  <si>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</si>
  <si>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</si>
  <si>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</si>
  <si>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</si>
  <si>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</si>
  <si>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</si>
  <si>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</si>
  <si>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</si>
  <si>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</si>
  <si>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</si>
  <si>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</si>
  <si>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</si>
  <si>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</si>
  <si>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</si>
  <si>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</si>
  <si>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</si>
  <si>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</si>
  <si>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</si>
  <si>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</si>
  <si>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</si>
  <si>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</si>
  <si>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</si>
  <si>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</si>
  <si>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</si>
  <si>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</si>
  <si>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</si>
  <si>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</si>
  <si>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</si>
  <si>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</si>
  <si>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</si>
  <si>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</si>
  <si>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</si>
  <si>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</si>
  <si>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</si>
  <si>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</si>
  <si>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</si>
  <si>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</si>
  <si>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</si>
  <si>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</si>
  <si>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</si>
  <si>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</si>
  <si>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</si>
  <si>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</si>
  <si>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</si>
  <si>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</si>
  <si>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</si>
  <si>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</si>
  <si>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</si>
  <si>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</si>
  <si>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</si>
  <si>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</si>
  <si>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</si>
  <si>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</si>
  <si>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</si>
  <si>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</si>
  <si>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</si>
  <si>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</si>
  <si>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</si>
  <si>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</si>
  <si>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</si>
  <si>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</si>
  <si>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</si>
  <si>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</si>
  <si>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</si>
  <si>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</si>
  <si>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</si>
  <si>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</si>
  <si>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</si>
  <si>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</si>
  <si>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</si>
  <si>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</si>
  <si>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</si>
  <si>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</si>
  <si>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</si>
  <si>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</si>
  <si>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</si>
  <si>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</si>
  <si>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</si>
  <si>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</si>
  <si>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</si>
  <si>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</si>
  <si>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</si>
  <si>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</si>
  <si>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</si>
  <si>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</si>
  <si>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</si>
  <si>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</si>
  <si>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</si>
  <si>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</si>
  <si>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</si>
  <si>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</si>
  <si>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</si>
  <si>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</si>
  <si>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</si>
  <si>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</si>
  <si>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</si>
  <si>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</si>
  <si>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</si>
  <si>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</si>
  <si>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</si>
  <si>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</si>
  <si>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</si>
  <si>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</si>
  <si>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</si>
  <si>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</si>
  <si>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</si>
  <si>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</si>
  <si>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</si>
  <si>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</si>
  <si>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</si>
  <si>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</si>
  <si>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</si>
  <si>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</si>
  <si>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</si>
  <si>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</si>
  <si>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</si>
  <si>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</si>
  <si>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</si>
  <si>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</si>
  <si>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</si>
  <si>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</si>
  <si>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</si>
  <si>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</si>
  <si>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</si>
  <si>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</si>
  <si>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</si>
  <si>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</si>
  <si>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</si>
  <si>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</si>
  <si>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</si>
  <si>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</si>
  <si>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</si>
  <si>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</si>
  <si>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</si>
  <si>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</si>
  <si>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</si>
  <si>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</si>
  <si>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</si>
  <si>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</si>
  <si>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</si>
  <si>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</si>
  <si>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</si>
  <si>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</si>
  <si>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</si>
  <si>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</si>
  <si>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</si>
  <si>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</si>
  <si>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</si>
  <si>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</si>
  <si>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</si>
  <si>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</si>
  <si>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</si>
  <si>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</si>
  <si>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</si>
  <si>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</si>
  <si>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</si>
  <si>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</si>
  <si>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</si>
  <si>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</si>
  <si>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</si>
  <si>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</si>
  <si>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</si>
  <si>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</si>
  <si>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</si>
  <si>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</si>
  <si>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</si>
  <si>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</si>
  <si>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</si>
  <si>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</si>
  <si>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</si>
  <si>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</si>
  <si>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</si>
  <si>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</si>
  <si>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</si>
  <si>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</si>
  <si>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</si>
  <si>
    <t>Building ResIlient Development with GEnerative AI in Education &amp; Agriculture - BRIDGE-AI</t>
  </si>
  <si>
    <t>Fundacio Eurecat, SeamWare, Austria Car, Unniversity of Sousse, Moome, AgroInfoTech, Jomo Kenyata University</t>
  </si>
  <si>
    <t>2026-2029</t>
  </si>
  <si>
    <t>HORIZON-CL4-2025-04 (GenAI4Africa)</t>
  </si>
  <si>
    <t>Ecostars Dataspace Fase 2</t>
  </si>
  <si>
    <t>Ecostars Dataspace Phase 2</t>
  </si>
  <si>
    <t>ECOSTARS ESG AI SL</t>
  </si>
  <si>
    <t>Alvaro Alonso</t>
  </si>
  <si>
    <t>Servicio de Configuración y Adaptación de la Plataforma YODA</t>
  </si>
  <si>
    <t>YODA Platform Configuration and Customization Service</t>
  </si>
  <si>
    <t>INECO</t>
  </si>
  <si>
    <t>DEPLOYTOUR</t>
  </si>
  <si>
    <t>2026-2027</t>
  </si>
  <si>
    <t>DEPLOYTOUR is a project co-funded under the EU Digital Europe Programme, supported by DG GROW and DG CONNECT. It is a strategic initiative to boost the competitiveness, sustainability, and resilience of the tourism sector by deploying a trusted Common European Tourism Data Space (ETDS).</t>
  </si>
  <si>
    <t>https://deploytour.eu/the-project/</t>
  </si>
  <si>
    <t>EU Digital Europe Programme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</si>
</sst>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5"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8">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xf numFmtId="0" fontId="11" fillId="0" borderId="0" xfId="4"/>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11" Type="http://schemas.openxmlformats.org/officeDocument/2006/relationships/hyperlink" Target="https://digital-strategy.ec.europa.eu/en/policies/data-spaces" TargetMode="External"/><Relationship Id="rId5" Type="http://schemas.openxmlformats.org/officeDocument/2006/relationships/hyperlink" Target="https://github.com/ging/fiware-cosmos" TargetMode="External"/><Relationship Id="rId10" Type="http://schemas.openxmlformats.org/officeDocument/2006/relationships/hyperlink" Target="https://deploytour.eu/the-project/"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D20" activePane="bottomRight" state="frozen"/>
      <selection pane="topRight" activeCell="C1" sqref="C1"/>
      <selection pane="bottomLeft" activeCell="A2" sqref="A2"/>
      <selection pane="bottomRight" activeCell="A53" sqref="A53"/>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1000475</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51"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22" ht="91" x14ac:dyDescent="0.2">
      <c r="A49" s="9" t="s">
        <v>97</v>
      </c>
      <c r="B49" s="9" t="s">
        <v>217</v>
      </c>
      <c r="C49" s="25" t="s">
        <v>217</v>
      </c>
      <c r="F49" s="9">
        <v>101299050</v>
      </c>
      <c r="H49" s="24" t="s">
        <v>66</v>
      </c>
      <c r="I49" s="13">
        <v>312500</v>
      </c>
      <c r="J49" s="13">
        <v>312500</v>
      </c>
      <c r="K49" s="17" t="s">
        <v>218</v>
      </c>
      <c r="L49" s="17" t="s">
        <v>219</v>
      </c>
      <c r="M49" s="11">
        <v>46143</v>
      </c>
      <c r="N49" s="11">
        <v>47238</v>
      </c>
      <c r="O49" s="9">
        <f t="shared" ref="O49:O51" si="2">DATEDIF(M49,N49+1, "M")</f>
        <v>36</v>
      </c>
      <c r="Q49" s="9" t="s">
        <v>75</v>
      </c>
      <c r="S49" s="9" t="s">
        <v>62</v>
      </c>
      <c r="T49" s="9" t="s">
        <v>83</v>
      </c>
      <c r="U49" s="9" t="s">
        <v>60</v>
      </c>
      <c r="V49" s="16" t="s">
        <v>220</v>
      </c>
    </row>
    <row r="50" spans="1:22" x14ac:dyDescent="0.2">
      <c r="A50" s="9" t="s">
        <v>98</v>
      </c>
      <c r="B50" s="9" t="s">
        <v>221</v>
      </c>
      <c r="C50" s="6" t="s">
        <v>222</v>
      </c>
      <c r="H50" s="9" t="s">
        <v>223</v>
      </c>
      <c r="I50" s="13">
        <v>48104</v>
      </c>
      <c r="J50" s="13">
        <v>48104</v>
      </c>
      <c r="K50" s="9" t="s">
        <v>223</v>
      </c>
      <c r="L50" s="9">
        <v>2026</v>
      </c>
      <c r="M50" s="11">
        <v>46113</v>
      </c>
      <c r="N50" s="11">
        <v>46203</v>
      </c>
      <c r="O50" s="9">
        <f t="shared" si="2"/>
        <v>3</v>
      </c>
      <c r="Q50" s="9" t="s">
        <v>73</v>
      </c>
      <c r="S50" s="9" t="s">
        <v>60</v>
      </c>
      <c r="T50" s="9" t="s">
        <v>224</v>
      </c>
    </row>
    <row r="51" spans="1:22" x14ac:dyDescent="0.2">
      <c r="A51" s="9" t="s">
        <v>98</v>
      </c>
      <c r="B51" s="9" t="s">
        <v>225</v>
      </c>
      <c r="C51" s="6" t="s">
        <v>226</v>
      </c>
      <c r="I51" s="13">
        <v>14816</v>
      </c>
      <c r="J51" s="13">
        <v>14816</v>
      </c>
      <c r="K51" s="9" t="s">
        <v>227</v>
      </c>
      <c r="L51" s="9">
        <v>2026</v>
      </c>
      <c r="M51" s="11">
        <v>46174</v>
      </c>
      <c r="N51" s="11">
        <v>46203</v>
      </c>
      <c r="O51" s="9">
        <f t="shared" si="2"/>
        <v>1</v>
      </c>
      <c r="T51" s="9" t="s">
        <v>224</v>
      </c>
      <c r="U51" s="9" t="s">
        <v>60</v>
      </c>
    </row>
    <row r="52" spans="1:22" ht="16" x14ac:dyDescent="0.2">
      <c r="A52" s="9" t="s">
        <v>97</v>
      </c>
      <c r="B52" s="9" t="s">
        <v>228</v>
      </c>
      <c r="C52" s="25" t="s">
        <v>228</v>
      </c>
      <c r="D52" s="9" t="s">
        <v>230</v>
      </c>
      <c r="E52" s="23" t="s">
        <v>231</v>
      </c>
      <c r="H52" s="24" t="s">
        <v>66</v>
      </c>
      <c r="I52" s="13">
        <v>100000</v>
      </c>
      <c r="J52" s="13">
        <v>100000</v>
      </c>
      <c r="K52" s="17"/>
      <c r="L52" s="17" t="s">
        <v>229</v>
      </c>
      <c r="M52" s="11">
        <v>46174</v>
      </c>
      <c r="N52" s="11">
        <v>46598</v>
      </c>
      <c r="O52" s="9">
        <f t="shared" ref="O52" si="3">DATEDIF(M52,N52+1, "M")</f>
        <v>13</v>
      </c>
      <c r="Q52" s="9" t="s">
        <v>75</v>
      </c>
      <c r="S52" s="9" t="s">
        <v>60</v>
      </c>
      <c r="T52" s="9" t="s">
        <v>224</v>
      </c>
      <c r="U52" s="9" t="s">
        <v>60</v>
      </c>
      <c r="V52" s="27" t="s">
        <v>232</v>
      </c>
    </row>
    <row r="53" spans="1:22" x14ac:dyDescent="0.2">
      <c r="C53" s="6"/>
    </row>
    <row r="54" spans="1:22" x14ac:dyDescent="0.2">
      <c r="C54" s="6"/>
    </row>
    <row r="55" spans="1:22"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 ref="E52" r:id="rId10" xr:uid="{0AC78973-4B07-E748-9937-2B11BEA08064}"/>
    <hyperlink ref="V52" r:id="rId11" display="https://digital-strategy.ec.europa.eu/en/policies/data-spaces" xr:uid="{6021C4A7-2987-514D-A6C9-CFE037CD2F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2026-06-18T11:47:15Z</dcterms:modified>
</cp:coreProperties>
</file>